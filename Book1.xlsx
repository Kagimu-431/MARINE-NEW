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T87" i="1"/>
  <c r="T86"/>
  <c r="T85"/>
  <c r="T84"/>
  <c r="T83"/>
  <c r="T82"/>
  <c r="T81"/>
  <c r="T80"/>
  <c r="T79"/>
  <c r="T78"/>
  <c r="T77"/>
  <c r="T76"/>
  <c r="T75"/>
  <c r="T74"/>
  <c r="I88"/>
  <c r="I87"/>
  <c r="I86"/>
  <c r="I85"/>
  <c r="I84"/>
  <c r="I83"/>
  <c r="I82"/>
  <c r="I81"/>
  <c r="I80"/>
  <c r="I79"/>
  <c r="I78"/>
  <c r="I77"/>
  <c r="I76"/>
  <c r="I75"/>
  <c r="I74"/>
  <c r="T69"/>
  <c r="T68"/>
  <c r="T67"/>
  <c r="T66"/>
  <c r="T65"/>
  <c r="T64"/>
  <c r="T63"/>
  <c r="T62"/>
  <c r="T61"/>
  <c r="T60"/>
  <c r="T59"/>
  <c r="T58"/>
  <c r="T57"/>
  <c r="T56"/>
  <c r="I66"/>
  <c r="I65"/>
  <c r="I64"/>
  <c r="I63"/>
  <c r="I62"/>
  <c r="I61"/>
  <c r="I60"/>
  <c r="I59"/>
  <c r="I58"/>
  <c r="I57"/>
  <c r="I56"/>
  <c r="I55"/>
  <c r="I54"/>
  <c r="T51"/>
  <c r="T50"/>
  <c r="T49"/>
  <c r="T48"/>
  <c r="T47"/>
  <c r="T46"/>
  <c r="T45"/>
  <c r="T44"/>
  <c r="T43"/>
  <c r="T42"/>
  <c r="T41"/>
  <c r="T40"/>
  <c r="T39"/>
  <c r="T38"/>
  <c r="T37"/>
  <c r="I49"/>
  <c r="I48"/>
  <c r="I47"/>
  <c r="I46"/>
  <c r="I45"/>
  <c r="I44"/>
  <c r="I43"/>
  <c r="I42"/>
  <c r="I41"/>
  <c r="I40"/>
  <c r="I39"/>
  <c r="I38"/>
  <c r="I37"/>
  <c r="I36"/>
  <c r="T32"/>
  <c r="T31"/>
  <c r="T30"/>
  <c r="T29"/>
  <c r="T28"/>
  <c r="T27"/>
  <c r="T26"/>
  <c r="T25"/>
  <c r="T24"/>
  <c r="T23"/>
  <c r="T22"/>
  <c r="T21"/>
  <c r="T20"/>
  <c r="T19"/>
  <c r="T33" s="1"/>
  <c r="T14"/>
  <c r="T13"/>
  <c r="T12"/>
  <c r="T11"/>
  <c r="T10"/>
  <c r="T9"/>
  <c r="T8"/>
  <c r="T7"/>
  <c r="T6"/>
  <c r="T5"/>
  <c r="T4"/>
  <c r="T3"/>
  <c r="T15" s="1"/>
  <c r="I16"/>
  <c r="I30"/>
  <c r="I25"/>
  <c r="I23"/>
  <c r="I24"/>
  <c r="I22"/>
  <c r="I29"/>
  <c r="I28"/>
  <c r="I27"/>
  <c r="I17"/>
  <c r="I21"/>
  <c r="I20"/>
  <c r="I19"/>
  <c r="I26"/>
  <c r="I18"/>
  <c r="I11"/>
  <c r="I10"/>
  <c r="I9"/>
  <c r="I8"/>
  <c r="I7"/>
  <c r="I6"/>
  <c r="I5"/>
  <c r="I4"/>
  <c r="I3"/>
  <c r="I2"/>
  <c r="I31" l="1"/>
  <c r="I12"/>
</calcChain>
</file>

<file path=xl/sharedStrings.xml><?xml version="1.0" encoding="utf-8"?>
<sst xmlns="http://schemas.openxmlformats.org/spreadsheetml/2006/main" count="253" uniqueCount="46">
  <si>
    <t>S/N</t>
  </si>
  <si>
    <t>DETACH</t>
  </si>
  <si>
    <t>DATE</t>
  </si>
  <si>
    <t>M/A</t>
  </si>
  <si>
    <t>F/A</t>
  </si>
  <si>
    <t>M/J</t>
  </si>
  <si>
    <t>F/J</t>
  </si>
  <si>
    <t>TC</t>
  </si>
  <si>
    <t>TOTAL</t>
  </si>
  <si>
    <t>SIGULU</t>
  </si>
  <si>
    <t>1st/4/25</t>
  </si>
  <si>
    <t>NKOSE</t>
  </si>
  <si>
    <t>BWONDHA</t>
  </si>
  <si>
    <t>KASENSERO</t>
  </si>
  <si>
    <t>PANYIMUR</t>
  </si>
  <si>
    <t>KATOSI</t>
  </si>
  <si>
    <t>KALANGALA</t>
  </si>
  <si>
    <t>LOLWE</t>
  </si>
  <si>
    <t>BUKUNGU</t>
  </si>
  <si>
    <t>JINJA</t>
  </si>
  <si>
    <t>KASENYI</t>
  </si>
  <si>
    <t>BUVUMA</t>
  </si>
  <si>
    <t>Total</t>
  </si>
  <si>
    <t>Manifests for 10th/APRIL/2025</t>
  </si>
  <si>
    <t>10th/4/25</t>
  </si>
  <si>
    <t>SEBAGORO</t>
  </si>
  <si>
    <t>BUTIABA</t>
  </si>
  <si>
    <t>ZENGEBE</t>
  </si>
  <si>
    <t>MANIFESTS FOR 2ND APRIL 2025</t>
  </si>
  <si>
    <t>2nd/4/25</t>
  </si>
  <si>
    <t>FOR 3RD APRIL 2025</t>
  </si>
  <si>
    <t>3rd/4/25</t>
  </si>
  <si>
    <t>LUGALA</t>
  </si>
  <si>
    <t>MANIFESTS FOR 4TH APRIL 2025</t>
  </si>
  <si>
    <t>4th/4/25</t>
  </si>
  <si>
    <t>MANIFESTS FOR 5TH APRIL 2025</t>
  </si>
  <si>
    <t>5th/4/25</t>
  </si>
  <si>
    <t>LUGUMBA</t>
  </si>
  <si>
    <t>MANIFESTS FOR 6TH APRIL 2025</t>
  </si>
  <si>
    <t>6th/4/25</t>
  </si>
  <si>
    <t>S FOR 7th APRIL 2025</t>
  </si>
  <si>
    <t>7th/4/25</t>
  </si>
  <si>
    <t>S FOR 8th APRIL 2025</t>
  </si>
  <si>
    <t>8th/4/25</t>
  </si>
  <si>
    <t>S FOR 9th APRIL 2025</t>
  </si>
  <si>
    <t>9th/4/25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</si>
</sst>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"/>
  <sheetViews>
    <sheetView tabSelected="1" workbookViewId="0">
      <selection activeCell="R86" sqref="R86"/>
    </sheetView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M1" s="1" t="s">
        <v>28</v>
      </c>
    </row>
    <row r="2" spans="1:20">
      <c r="A2">
        <v>1</v>
      </c>
      <c r="B2" t="s">
        <v>9</v>
      </c>
      <c r="C2" t="s">
        <v>10</v>
      </c>
      <c r="D2">
        <v>31</v>
      </c>
      <c r="E2">
        <v>30</v>
      </c>
      <c r="F2">
        <v>7</v>
      </c>
      <c r="G2">
        <v>8</v>
      </c>
      <c r="H2">
        <v>15</v>
      </c>
      <c r="I2">
        <f>D2+E2+H2</f>
        <v>76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</row>
    <row r="3" spans="1:20">
      <c r="A3">
        <v>2</v>
      </c>
      <c r="B3" t="s">
        <v>11</v>
      </c>
      <c r="D3">
        <v>15</v>
      </c>
      <c r="E3">
        <v>5</v>
      </c>
      <c r="F3">
        <v>0</v>
      </c>
      <c r="G3">
        <v>0</v>
      </c>
      <c r="H3">
        <v>0</v>
      </c>
      <c r="I3">
        <f>D3+E3+H3</f>
        <v>20</v>
      </c>
      <c r="L3">
        <v>1</v>
      </c>
      <c r="M3" t="s">
        <v>9</v>
      </c>
      <c r="N3" t="s">
        <v>29</v>
      </c>
      <c r="T3">
        <f>O3+P3+S3</f>
        <v>0</v>
      </c>
    </row>
    <row r="4" spans="1:20">
      <c r="A4">
        <v>3</v>
      </c>
      <c r="B4" t="s">
        <v>12</v>
      </c>
      <c r="D4">
        <v>82</v>
      </c>
      <c r="E4">
        <v>39</v>
      </c>
      <c r="F4">
        <v>0</v>
      </c>
      <c r="G4">
        <v>0</v>
      </c>
      <c r="H4">
        <v>0</v>
      </c>
      <c r="I4">
        <f>SUM(D4,E4,H4)</f>
        <v>121</v>
      </c>
      <c r="L4">
        <v>2</v>
      </c>
      <c r="M4" t="s">
        <v>11</v>
      </c>
      <c r="O4">
        <v>8</v>
      </c>
      <c r="P4">
        <v>3</v>
      </c>
      <c r="Q4">
        <v>1</v>
      </c>
      <c r="R4">
        <v>2</v>
      </c>
      <c r="S4">
        <v>3</v>
      </c>
      <c r="T4">
        <f>O4+P4+S4</f>
        <v>14</v>
      </c>
    </row>
    <row r="5" spans="1:20">
      <c r="A5">
        <v>4</v>
      </c>
      <c r="B5" t="s">
        <v>13</v>
      </c>
      <c r="D5">
        <v>26</v>
      </c>
      <c r="E5">
        <v>8</v>
      </c>
      <c r="F5">
        <v>1</v>
      </c>
      <c r="G5">
        <v>0</v>
      </c>
      <c r="H5">
        <v>1</v>
      </c>
      <c r="I5">
        <f t="shared" ref="I5:I11" si="0">D5+E5+H5</f>
        <v>35</v>
      </c>
      <c r="L5">
        <v>3</v>
      </c>
      <c r="M5" t="s">
        <v>12</v>
      </c>
      <c r="O5">
        <v>32</v>
      </c>
      <c r="P5">
        <v>21</v>
      </c>
      <c r="Q5">
        <v>0</v>
      </c>
      <c r="R5">
        <v>0</v>
      </c>
      <c r="S5">
        <v>0</v>
      </c>
      <c r="T5">
        <f>SUM(O5,P5,S5)</f>
        <v>53</v>
      </c>
    </row>
    <row r="6" spans="1:20">
      <c r="A6">
        <v>5</v>
      </c>
      <c r="B6" t="s">
        <v>14</v>
      </c>
      <c r="D6">
        <v>103</v>
      </c>
      <c r="E6">
        <v>125</v>
      </c>
      <c r="F6">
        <v>0</v>
      </c>
      <c r="G6">
        <v>0</v>
      </c>
      <c r="H6">
        <v>0</v>
      </c>
      <c r="I6">
        <f t="shared" si="0"/>
        <v>228</v>
      </c>
      <c r="L6">
        <v>4</v>
      </c>
      <c r="M6" t="s">
        <v>13</v>
      </c>
      <c r="O6">
        <v>31</v>
      </c>
      <c r="P6">
        <v>11</v>
      </c>
      <c r="Q6">
        <v>0</v>
      </c>
      <c r="R6">
        <v>0</v>
      </c>
      <c r="S6">
        <v>0</v>
      </c>
      <c r="T6">
        <f t="shared" ref="T6:T13" si="1">O6+P6+S6</f>
        <v>42</v>
      </c>
    </row>
    <row r="7" spans="1:20">
      <c r="A7">
        <v>6</v>
      </c>
      <c r="B7" t="s">
        <v>15</v>
      </c>
      <c r="D7">
        <v>88</v>
      </c>
      <c r="E7">
        <v>62</v>
      </c>
      <c r="F7">
        <v>0</v>
      </c>
      <c r="G7">
        <v>0</v>
      </c>
      <c r="H7">
        <v>0</v>
      </c>
      <c r="I7">
        <f t="shared" si="0"/>
        <v>150</v>
      </c>
      <c r="L7">
        <v>5</v>
      </c>
      <c r="M7" t="s">
        <v>14</v>
      </c>
      <c r="O7">
        <v>62</v>
      </c>
      <c r="P7">
        <v>68</v>
      </c>
      <c r="Q7">
        <v>0</v>
      </c>
      <c r="R7">
        <v>0</v>
      </c>
      <c r="S7">
        <v>0</v>
      </c>
      <c r="T7">
        <f t="shared" si="1"/>
        <v>130</v>
      </c>
    </row>
    <row r="8" spans="1:20">
      <c r="A8">
        <v>7</v>
      </c>
      <c r="B8" t="s">
        <v>16</v>
      </c>
      <c r="D8">
        <v>45</v>
      </c>
      <c r="E8">
        <v>46</v>
      </c>
      <c r="F8">
        <v>0</v>
      </c>
      <c r="G8">
        <v>0</v>
      </c>
      <c r="H8">
        <v>0</v>
      </c>
      <c r="I8">
        <f t="shared" si="0"/>
        <v>91</v>
      </c>
      <c r="L8">
        <v>6</v>
      </c>
      <c r="M8" t="s">
        <v>15</v>
      </c>
      <c r="O8">
        <v>83</v>
      </c>
      <c r="P8">
        <v>46</v>
      </c>
      <c r="Q8">
        <v>0</v>
      </c>
      <c r="R8">
        <v>0</v>
      </c>
      <c r="S8">
        <v>0</v>
      </c>
      <c r="T8">
        <f t="shared" si="1"/>
        <v>129</v>
      </c>
    </row>
    <row r="9" spans="1:20">
      <c r="A9">
        <v>8</v>
      </c>
      <c r="B9" t="s">
        <v>17</v>
      </c>
      <c r="D9">
        <v>18</v>
      </c>
      <c r="E9">
        <v>8</v>
      </c>
      <c r="F9">
        <v>0</v>
      </c>
      <c r="G9">
        <v>0</v>
      </c>
      <c r="H9">
        <v>0</v>
      </c>
      <c r="I9">
        <f t="shared" si="0"/>
        <v>26</v>
      </c>
      <c r="L9">
        <v>7</v>
      </c>
      <c r="M9" t="s">
        <v>16</v>
      </c>
      <c r="T9">
        <f t="shared" si="1"/>
        <v>0</v>
      </c>
    </row>
    <row r="10" spans="1:20">
      <c r="A10">
        <v>9</v>
      </c>
      <c r="B10" t="s">
        <v>18</v>
      </c>
      <c r="D10">
        <v>54</v>
      </c>
      <c r="E10">
        <v>15</v>
      </c>
      <c r="H10">
        <v>9</v>
      </c>
      <c r="I10">
        <f t="shared" si="0"/>
        <v>78</v>
      </c>
      <c r="L10">
        <v>8</v>
      </c>
      <c r="M10" t="s">
        <v>17</v>
      </c>
      <c r="O10">
        <v>100</v>
      </c>
      <c r="P10">
        <v>114</v>
      </c>
      <c r="S10">
        <v>33</v>
      </c>
      <c r="T10">
        <f t="shared" si="1"/>
        <v>247</v>
      </c>
    </row>
    <row r="11" spans="1:20">
      <c r="A11">
        <v>10</v>
      </c>
      <c r="B11" t="s">
        <v>19</v>
      </c>
      <c r="D11">
        <v>158</v>
      </c>
      <c r="E11">
        <v>90</v>
      </c>
      <c r="H11">
        <v>36</v>
      </c>
      <c r="I11">
        <f t="shared" si="0"/>
        <v>284</v>
      </c>
      <c r="L11">
        <v>9</v>
      </c>
      <c r="M11" t="s">
        <v>18</v>
      </c>
      <c r="O11">
        <v>81</v>
      </c>
      <c r="P11">
        <v>6</v>
      </c>
      <c r="S11">
        <v>8</v>
      </c>
      <c r="T11">
        <f t="shared" si="1"/>
        <v>95</v>
      </c>
    </row>
    <row r="12" spans="1:20">
      <c r="B12" t="s">
        <v>22</v>
      </c>
      <c r="I12">
        <f>I2+I3+I4+I5+I6+I7+I8+I9+I10+I11</f>
        <v>1109</v>
      </c>
      <c r="L12">
        <v>10</v>
      </c>
      <c r="M12" t="s">
        <v>19</v>
      </c>
      <c r="O12">
        <v>62</v>
      </c>
      <c r="P12">
        <v>134</v>
      </c>
      <c r="S12">
        <v>19</v>
      </c>
      <c r="T12">
        <f t="shared" si="1"/>
        <v>215</v>
      </c>
    </row>
    <row r="13" spans="1:20">
      <c r="L13">
        <v>11</v>
      </c>
      <c r="M13" t="s">
        <v>25</v>
      </c>
      <c r="O13">
        <v>12</v>
      </c>
      <c r="P13">
        <v>2</v>
      </c>
      <c r="Q13">
        <v>0</v>
      </c>
      <c r="R13">
        <v>0</v>
      </c>
      <c r="S13">
        <v>0</v>
      </c>
      <c r="T13">
        <f>O13+P13+S13</f>
        <v>14</v>
      </c>
    </row>
    <row r="14" spans="1:20">
      <c r="B14" s="1" t="s">
        <v>23</v>
      </c>
      <c r="L14">
        <v>12</v>
      </c>
      <c r="M14" t="s">
        <v>20</v>
      </c>
      <c r="O14">
        <v>102</v>
      </c>
      <c r="P14">
        <v>110</v>
      </c>
      <c r="Q14">
        <v>7</v>
      </c>
      <c r="R14">
        <v>5</v>
      </c>
      <c r="S14">
        <v>12</v>
      </c>
      <c r="T14">
        <f>O14+P14+S14</f>
        <v>224</v>
      </c>
    </row>
    <row r="15" spans="1:20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M15" s="1" t="s">
        <v>8</v>
      </c>
      <c r="T15">
        <f>T3+T4+T5+T6+T7+T8+T9+T10+T11+T12+T13+T14</f>
        <v>1163</v>
      </c>
    </row>
    <row r="16" spans="1:20">
      <c r="A16">
        <v>1</v>
      </c>
      <c r="B16" t="s">
        <v>9</v>
      </c>
      <c r="C16" t="s">
        <v>24</v>
      </c>
      <c r="D16">
        <v>32</v>
      </c>
      <c r="E16">
        <v>21</v>
      </c>
      <c r="F16">
        <v>6</v>
      </c>
      <c r="G16">
        <v>3</v>
      </c>
      <c r="H16">
        <v>9</v>
      </c>
      <c r="I16">
        <f t="shared" ref="I16:I30" si="2">D16+E16+H16</f>
        <v>62</v>
      </c>
    </row>
    <row r="17" spans="1:20">
      <c r="A17">
        <v>2</v>
      </c>
      <c r="B17" t="s">
        <v>11</v>
      </c>
      <c r="D17">
        <v>13</v>
      </c>
      <c r="E17">
        <v>5</v>
      </c>
      <c r="F17">
        <v>2</v>
      </c>
      <c r="G17">
        <v>0</v>
      </c>
      <c r="H17">
        <v>2</v>
      </c>
      <c r="I17">
        <f t="shared" si="2"/>
        <v>20</v>
      </c>
      <c r="M17" s="1" t="s">
        <v>28</v>
      </c>
      <c r="N17" s="1" t="s">
        <v>30</v>
      </c>
      <c r="O17" s="1"/>
      <c r="P17" s="1"/>
    </row>
    <row r="18" spans="1:20">
      <c r="A18">
        <v>3</v>
      </c>
      <c r="B18" t="s">
        <v>12</v>
      </c>
      <c r="D18">
        <v>43</v>
      </c>
      <c r="E18">
        <v>20</v>
      </c>
      <c r="F18">
        <v>0</v>
      </c>
      <c r="G18">
        <v>0</v>
      </c>
      <c r="H18">
        <v>0</v>
      </c>
      <c r="I18">
        <f t="shared" si="2"/>
        <v>63</v>
      </c>
      <c r="L18" t="s">
        <v>0</v>
      </c>
      <c r="M18" t="s">
        <v>1</v>
      </c>
      <c r="N18" t="s">
        <v>2</v>
      </c>
      <c r="O18" t="s">
        <v>3</v>
      </c>
      <c r="P18" t="s">
        <v>4</v>
      </c>
      <c r="Q18" t="s">
        <v>5</v>
      </c>
      <c r="R18" t="s">
        <v>6</v>
      </c>
      <c r="S18" t="s">
        <v>7</v>
      </c>
      <c r="T18" t="s">
        <v>8</v>
      </c>
    </row>
    <row r="19" spans="1:20">
      <c r="A19">
        <v>4</v>
      </c>
      <c r="B19" t="s">
        <v>13</v>
      </c>
      <c r="D19">
        <v>19</v>
      </c>
      <c r="E19">
        <v>11</v>
      </c>
      <c r="F19">
        <v>0</v>
      </c>
      <c r="G19">
        <v>0</v>
      </c>
      <c r="H19">
        <v>0</v>
      </c>
      <c r="I19">
        <f t="shared" si="2"/>
        <v>30</v>
      </c>
      <c r="L19">
        <v>1</v>
      </c>
      <c r="M19" t="s">
        <v>9</v>
      </c>
      <c r="N19" t="s">
        <v>31</v>
      </c>
      <c r="O19">
        <v>29</v>
      </c>
      <c r="P19">
        <v>20</v>
      </c>
      <c r="Q19">
        <v>4</v>
      </c>
      <c r="R19">
        <v>10</v>
      </c>
      <c r="S19">
        <v>14</v>
      </c>
      <c r="T19">
        <f>O19+P19+S19</f>
        <v>63</v>
      </c>
    </row>
    <row r="20" spans="1:20">
      <c r="A20">
        <v>5</v>
      </c>
      <c r="B20" t="s">
        <v>14</v>
      </c>
      <c r="D20">
        <v>66</v>
      </c>
      <c r="E20">
        <v>94</v>
      </c>
      <c r="H20">
        <v>42</v>
      </c>
      <c r="I20">
        <f t="shared" si="2"/>
        <v>202</v>
      </c>
      <c r="L20">
        <v>2</v>
      </c>
      <c r="M20" t="s">
        <v>11</v>
      </c>
      <c r="O20">
        <v>11</v>
      </c>
      <c r="P20">
        <v>4</v>
      </c>
      <c r="Q20">
        <v>0</v>
      </c>
      <c r="R20">
        <v>1</v>
      </c>
      <c r="S20">
        <v>1</v>
      </c>
      <c r="T20">
        <f>O20+P20+S20</f>
        <v>16</v>
      </c>
    </row>
    <row r="21" spans="1:20">
      <c r="A21">
        <v>6</v>
      </c>
      <c r="B21" t="s">
        <v>15</v>
      </c>
      <c r="D21">
        <v>52</v>
      </c>
      <c r="E21">
        <v>52</v>
      </c>
      <c r="F21">
        <v>0</v>
      </c>
      <c r="G21">
        <v>0</v>
      </c>
      <c r="H21">
        <v>0</v>
      </c>
      <c r="I21">
        <f t="shared" si="2"/>
        <v>104</v>
      </c>
      <c r="L21">
        <v>3</v>
      </c>
      <c r="M21" t="s">
        <v>12</v>
      </c>
      <c r="O21">
        <v>58</v>
      </c>
      <c r="P21">
        <v>28</v>
      </c>
      <c r="Q21">
        <v>0</v>
      </c>
      <c r="R21">
        <v>0</v>
      </c>
      <c r="S21">
        <v>0</v>
      </c>
      <c r="T21">
        <f>SUM(O21,P21,S21)</f>
        <v>86</v>
      </c>
    </row>
    <row r="22" spans="1:20">
      <c r="A22">
        <v>7</v>
      </c>
      <c r="B22" t="s">
        <v>16</v>
      </c>
      <c r="D22">
        <v>34</v>
      </c>
      <c r="E22">
        <v>22</v>
      </c>
      <c r="F22">
        <v>0</v>
      </c>
      <c r="G22">
        <v>0</v>
      </c>
      <c r="H22">
        <v>0</v>
      </c>
      <c r="I22">
        <f t="shared" si="2"/>
        <v>56</v>
      </c>
      <c r="L22">
        <v>4</v>
      </c>
      <c r="M22" t="s">
        <v>13</v>
      </c>
      <c r="O22">
        <v>33</v>
      </c>
      <c r="P22">
        <v>7</v>
      </c>
      <c r="Q22">
        <v>0</v>
      </c>
      <c r="R22">
        <v>0</v>
      </c>
      <c r="S22">
        <v>0</v>
      </c>
      <c r="T22">
        <f t="shared" ref="T22:T28" si="3">O22+P22+S22</f>
        <v>40</v>
      </c>
    </row>
    <row r="23" spans="1:20">
      <c r="A23">
        <v>8</v>
      </c>
      <c r="B23" t="s">
        <v>17</v>
      </c>
      <c r="D23">
        <v>23</v>
      </c>
      <c r="E23">
        <v>25</v>
      </c>
      <c r="F23">
        <v>1</v>
      </c>
      <c r="G23">
        <v>4</v>
      </c>
      <c r="H23">
        <v>5</v>
      </c>
      <c r="I23">
        <f t="shared" si="2"/>
        <v>53</v>
      </c>
      <c r="L23">
        <v>5</v>
      </c>
      <c r="M23" t="s">
        <v>14</v>
      </c>
      <c r="O23">
        <v>62</v>
      </c>
      <c r="P23">
        <v>100</v>
      </c>
      <c r="Q23">
        <v>0</v>
      </c>
      <c r="R23">
        <v>0</v>
      </c>
      <c r="S23">
        <v>0</v>
      </c>
      <c r="T23">
        <f t="shared" si="3"/>
        <v>162</v>
      </c>
    </row>
    <row r="24" spans="1:20">
      <c r="A24">
        <v>9</v>
      </c>
      <c r="B24" t="s">
        <v>18</v>
      </c>
      <c r="D24">
        <v>61</v>
      </c>
      <c r="E24">
        <v>10</v>
      </c>
      <c r="H24">
        <v>1</v>
      </c>
      <c r="I24">
        <f t="shared" si="2"/>
        <v>72</v>
      </c>
      <c r="L24">
        <v>6</v>
      </c>
      <c r="M24" t="s">
        <v>15</v>
      </c>
      <c r="O24">
        <v>84</v>
      </c>
      <c r="P24">
        <v>56</v>
      </c>
      <c r="Q24">
        <v>0</v>
      </c>
      <c r="R24">
        <v>0</v>
      </c>
      <c r="S24">
        <v>0</v>
      </c>
      <c r="T24">
        <f t="shared" si="3"/>
        <v>140</v>
      </c>
    </row>
    <row r="25" spans="1:20">
      <c r="A25">
        <v>10</v>
      </c>
      <c r="B25" t="s">
        <v>19</v>
      </c>
      <c r="D25">
        <v>106</v>
      </c>
      <c r="E25">
        <v>65</v>
      </c>
      <c r="H25">
        <v>29</v>
      </c>
      <c r="I25">
        <f t="shared" si="2"/>
        <v>200</v>
      </c>
      <c r="L25">
        <v>7</v>
      </c>
      <c r="M25" t="s">
        <v>16</v>
      </c>
      <c r="O25">
        <v>0</v>
      </c>
      <c r="P25">
        <v>0</v>
      </c>
      <c r="Q25">
        <v>0</v>
      </c>
      <c r="R25">
        <v>0</v>
      </c>
      <c r="S25">
        <v>0</v>
      </c>
      <c r="T25">
        <f t="shared" si="3"/>
        <v>0</v>
      </c>
    </row>
    <row r="26" spans="1:20">
      <c r="A26">
        <v>11</v>
      </c>
      <c r="B26" t="s">
        <v>25</v>
      </c>
      <c r="D26">
        <v>15</v>
      </c>
      <c r="E26">
        <v>2</v>
      </c>
      <c r="F26">
        <v>1</v>
      </c>
      <c r="G26">
        <v>7</v>
      </c>
      <c r="H26">
        <v>8</v>
      </c>
      <c r="I26">
        <f t="shared" si="2"/>
        <v>25</v>
      </c>
      <c r="L26">
        <v>8</v>
      </c>
      <c r="M26" t="s">
        <v>17</v>
      </c>
      <c r="O26">
        <v>20</v>
      </c>
      <c r="P26">
        <v>25</v>
      </c>
      <c r="S26">
        <v>9</v>
      </c>
      <c r="T26">
        <f t="shared" si="3"/>
        <v>54</v>
      </c>
    </row>
    <row r="27" spans="1:20">
      <c r="A27">
        <v>12</v>
      </c>
      <c r="B27" t="s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2"/>
        <v>0</v>
      </c>
      <c r="L27">
        <v>9</v>
      </c>
      <c r="M27" t="s">
        <v>18</v>
      </c>
      <c r="O27">
        <v>34</v>
      </c>
      <c r="P27">
        <v>6</v>
      </c>
      <c r="S27">
        <v>4</v>
      </c>
      <c r="T27">
        <f t="shared" si="3"/>
        <v>44</v>
      </c>
    </row>
    <row r="28" spans="1:20">
      <c r="A28">
        <v>13</v>
      </c>
      <c r="B28" t="s">
        <v>27</v>
      </c>
      <c r="D28">
        <v>223</v>
      </c>
      <c r="E28">
        <v>234</v>
      </c>
      <c r="F28">
        <v>23</v>
      </c>
      <c r="G28">
        <v>20</v>
      </c>
      <c r="H28">
        <v>43</v>
      </c>
      <c r="I28">
        <f t="shared" si="2"/>
        <v>500</v>
      </c>
      <c r="L28">
        <v>10</v>
      </c>
      <c r="M28" t="s">
        <v>19</v>
      </c>
      <c r="O28">
        <v>60</v>
      </c>
      <c r="P28">
        <v>87</v>
      </c>
      <c r="S28">
        <v>23</v>
      </c>
      <c r="T28">
        <f t="shared" si="3"/>
        <v>170</v>
      </c>
    </row>
    <row r="29" spans="1:20">
      <c r="A29">
        <v>14</v>
      </c>
      <c r="B29" t="s">
        <v>20</v>
      </c>
      <c r="D29">
        <v>102</v>
      </c>
      <c r="E29">
        <v>98</v>
      </c>
      <c r="F29">
        <v>7</v>
      </c>
      <c r="G29">
        <v>5</v>
      </c>
      <c r="H29">
        <v>12</v>
      </c>
      <c r="I29">
        <f t="shared" si="2"/>
        <v>212</v>
      </c>
      <c r="L29">
        <v>11</v>
      </c>
      <c r="M29" t="s">
        <v>25</v>
      </c>
      <c r="O29">
        <v>9</v>
      </c>
      <c r="P29">
        <v>2</v>
      </c>
      <c r="Q29">
        <v>0</v>
      </c>
      <c r="R29">
        <v>4</v>
      </c>
      <c r="S29">
        <v>4</v>
      </c>
      <c r="T29">
        <f>O29+P29+S29</f>
        <v>15</v>
      </c>
    </row>
    <row r="30" spans="1:20">
      <c r="A30">
        <v>15</v>
      </c>
      <c r="B30" t="s">
        <v>21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2"/>
        <v>0</v>
      </c>
      <c r="L30">
        <v>12</v>
      </c>
      <c r="M30" t="s">
        <v>20</v>
      </c>
      <c r="O30">
        <v>0</v>
      </c>
      <c r="P30">
        <v>0</v>
      </c>
      <c r="Q30">
        <v>0</v>
      </c>
      <c r="R30">
        <v>0</v>
      </c>
      <c r="S30">
        <v>0</v>
      </c>
      <c r="T30">
        <f>O30+P30+S30</f>
        <v>0</v>
      </c>
    </row>
    <row r="31" spans="1:20">
      <c r="B31" t="s">
        <v>8</v>
      </c>
      <c r="I31">
        <f>I16+I17+I18+I19+I20+I21+I22+I23+I24+I25+I26+I27+I28+I29+I30</f>
        <v>1599</v>
      </c>
      <c r="L31">
        <v>13</v>
      </c>
      <c r="M31" t="s">
        <v>27</v>
      </c>
      <c r="O31">
        <v>228</v>
      </c>
      <c r="P31">
        <v>222</v>
      </c>
      <c r="Q31">
        <v>33</v>
      </c>
      <c r="R31">
        <v>29</v>
      </c>
      <c r="S31">
        <v>62</v>
      </c>
      <c r="T31">
        <f>O31+P31+S31</f>
        <v>512</v>
      </c>
    </row>
    <row r="32" spans="1:20">
      <c r="L32">
        <v>14</v>
      </c>
      <c r="M32" t="s">
        <v>32</v>
      </c>
      <c r="O32">
        <v>96</v>
      </c>
      <c r="P32">
        <v>82</v>
      </c>
      <c r="Q32">
        <v>5</v>
      </c>
      <c r="R32">
        <v>8</v>
      </c>
      <c r="S32">
        <v>13</v>
      </c>
      <c r="T32">
        <f>O32+P32+S32</f>
        <v>191</v>
      </c>
    </row>
    <row r="33" spans="1:20">
      <c r="M33" s="1" t="s">
        <v>8</v>
      </c>
      <c r="T33">
        <f>T19+T20+T21+T22+T23+T24+T25+T26+T27+T28+T29+T30+T31+T32</f>
        <v>1493</v>
      </c>
    </row>
    <row r="34" spans="1:20">
      <c r="C34" s="1" t="s">
        <v>33</v>
      </c>
    </row>
    <row r="35" spans="1:20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M35" s="1" t="s">
        <v>35</v>
      </c>
    </row>
    <row r="36" spans="1:20">
      <c r="A36">
        <v>1</v>
      </c>
      <c r="B36" t="s">
        <v>9</v>
      </c>
      <c r="C36" t="s">
        <v>34</v>
      </c>
      <c r="D36">
        <v>34</v>
      </c>
      <c r="E36">
        <v>30</v>
      </c>
      <c r="F36">
        <v>3</v>
      </c>
      <c r="G36">
        <v>2</v>
      </c>
      <c r="H36">
        <v>5</v>
      </c>
      <c r="I36">
        <f>D36+E36+H36</f>
        <v>69</v>
      </c>
      <c r="L36" t="s">
        <v>0</v>
      </c>
      <c r="M36" t="s">
        <v>1</v>
      </c>
      <c r="N36" t="s">
        <v>2</v>
      </c>
      <c r="O36" t="s">
        <v>3</v>
      </c>
      <c r="P36" t="s">
        <v>4</v>
      </c>
      <c r="Q36" t="s">
        <v>5</v>
      </c>
      <c r="R36" t="s">
        <v>6</v>
      </c>
      <c r="S36" t="s">
        <v>7</v>
      </c>
      <c r="T36" t="s">
        <v>8</v>
      </c>
    </row>
    <row r="37" spans="1:20">
      <c r="A37">
        <v>2</v>
      </c>
      <c r="B37" t="s">
        <v>11</v>
      </c>
      <c r="D37">
        <v>12</v>
      </c>
      <c r="E37">
        <v>7</v>
      </c>
      <c r="F37">
        <v>2</v>
      </c>
      <c r="G37">
        <v>1</v>
      </c>
      <c r="H37">
        <v>3</v>
      </c>
      <c r="I37">
        <f>D37+E37+H37</f>
        <v>22</v>
      </c>
      <c r="L37">
        <v>1</v>
      </c>
      <c r="M37" t="s">
        <v>9</v>
      </c>
      <c r="N37" t="s">
        <v>36</v>
      </c>
      <c r="O37">
        <v>24</v>
      </c>
      <c r="P37">
        <v>17</v>
      </c>
      <c r="Q37">
        <v>5</v>
      </c>
      <c r="R37">
        <v>6</v>
      </c>
      <c r="S37">
        <v>11</v>
      </c>
      <c r="T37">
        <f>O37+P37+S37</f>
        <v>52</v>
      </c>
    </row>
    <row r="38" spans="1:20">
      <c r="A38">
        <v>3</v>
      </c>
      <c r="B38" t="s">
        <v>12</v>
      </c>
      <c r="D38">
        <v>43</v>
      </c>
      <c r="E38">
        <v>38</v>
      </c>
      <c r="F38">
        <v>0</v>
      </c>
      <c r="G38">
        <v>0</v>
      </c>
      <c r="H38">
        <v>0</v>
      </c>
      <c r="I38">
        <f>SUM(D38,E38,H38)</f>
        <v>81</v>
      </c>
      <c r="L38">
        <v>2</v>
      </c>
      <c r="M38" t="s">
        <v>11</v>
      </c>
      <c r="O38">
        <v>13</v>
      </c>
      <c r="P38">
        <v>11</v>
      </c>
      <c r="Q38">
        <v>3</v>
      </c>
      <c r="R38">
        <v>4</v>
      </c>
      <c r="S38">
        <v>7</v>
      </c>
      <c r="T38">
        <f>O38+P38+S38</f>
        <v>31</v>
      </c>
    </row>
    <row r="39" spans="1:20">
      <c r="A39">
        <v>4</v>
      </c>
      <c r="B39" t="s">
        <v>13</v>
      </c>
      <c r="D39">
        <v>22</v>
      </c>
      <c r="E39">
        <v>11</v>
      </c>
      <c r="F39">
        <v>0</v>
      </c>
      <c r="G39">
        <v>0</v>
      </c>
      <c r="H39">
        <v>0</v>
      </c>
      <c r="I39">
        <f t="shared" ref="I39:I45" si="4">D39+E39+H39</f>
        <v>33</v>
      </c>
      <c r="L39">
        <v>3</v>
      </c>
      <c r="M39" t="s">
        <v>12</v>
      </c>
      <c r="O39">
        <v>50</v>
      </c>
      <c r="P39">
        <v>34</v>
      </c>
      <c r="Q39">
        <v>0</v>
      </c>
      <c r="R39">
        <v>0</v>
      </c>
      <c r="S39">
        <v>0</v>
      </c>
      <c r="T39">
        <f>SUM(O39,P39,S39)</f>
        <v>84</v>
      </c>
    </row>
    <row r="40" spans="1:20">
      <c r="A40">
        <v>5</v>
      </c>
      <c r="B40" t="s">
        <v>14</v>
      </c>
      <c r="I40">
        <f t="shared" si="4"/>
        <v>0</v>
      </c>
      <c r="L40">
        <v>4</v>
      </c>
      <c r="M40" t="s">
        <v>13</v>
      </c>
      <c r="O40">
        <v>13</v>
      </c>
      <c r="P40">
        <v>16</v>
      </c>
      <c r="Q40">
        <v>0</v>
      </c>
      <c r="R40">
        <v>0</v>
      </c>
      <c r="S40">
        <v>0</v>
      </c>
      <c r="T40">
        <f t="shared" ref="T40:T46" si="5">O40+P40+S40</f>
        <v>29</v>
      </c>
    </row>
    <row r="41" spans="1:20">
      <c r="A41">
        <v>6</v>
      </c>
      <c r="B41" t="s">
        <v>15</v>
      </c>
      <c r="I41">
        <f t="shared" si="4"/>
        <v>0</v>
      </c>
      <c r="L41">
        <v>5</v>
      </c>
      <c r="M41" t="s">
        <v>14</v>
      </c>
      <c r="T41">
        <f t="shared" si="5"/>
        <v>0</v>
      </c>
    </row>
    <row r="42" spans="1:20">
      <c r="A42">
        <v>7</v>
      </c>
      <c r="B42" t="s">
        <v>16</v>
      </c>
      <c r="D42">
        <v>47</v>
      </c>
      <c r="E42">
        <v>43</v>
      </c>
      <c r="F42">
        <v>0</v>
      </c>
      <c r="G42">
        <v>0</v>
      </c>
      <c r="H42">
        <v>0</v>
      </c>
      <c r="I42">
        <f t="shared" si="4"/>
        <v>90</v>
      </c>
      <c r="L42">
        <v>6</v>
      </c>
      <c r="M42" t="s">
        <v>15</v>
      </c>
      <c r="O42">
        <v>78</v>
      </c>
      <c r="P42">
        <v>55</v>
      </c>
      <c r="Q42">
        <v>0</v>
      </c>
      <c r="R42">
        <v>0</v>
      </c>
      <c r="S42">
        <v>0</v>
      </c>
      <c r="T42">
        <f t="shared" si="5"/>
        <v>133</v>
      </c>
    </row>
    <row r="43" spans="1:20">
      <c r="A43">
        <v>8</v>
      </c>
      <c r="B43" t="s">
        <v>17</v>
      </c>
      <c r="D43">
        <v>139</v>
      </c>
      <c r="E43">
        <v>135</v>
      </c>
      <c r="H43">
        <v>26</v>
      </c>
      <c r="I43">
        <f t="shared" si="4"/>
        <v>300</v>
      </c>
      <c r="L43">
        <v>7</v>
      </c>
      <c r="M43" t="s">
        <v>16</v>
      </c>
      <c r="O43">
        <v>52</v>
      </c>
      <c r="P43">
        <v>46</v>
      </c>
      <c r="S43">
        <v>0</v>
      </c>
      <c r="T43">
        <f t="shared" si="5"/>
        <v>98</v>
      </c>
    </row>
    <row r="44" spans="1:20">
      <c r="A44">
        <v>9</v>
      </c>
      <c r="B44" t="s">
        <v>18</v>
      </c>
      <c r="D44">
        <v>49</v>
      </c>
      <c r="E44">
        <v>14</v>
      </c>
      <c r="H44">
        <v>6</v>
      </c>
      <c r="I44">
        <f t="shared" si="4"/>
        <v>69</v>
      </c>
      <c r="L44">
        <v>8</v>
      </c>
      <c r="M44" t="s">
        <v>17</v>
      </c>
      <c r="O44">
        <v>85</v>
      </c>
      <c r="P44">
        <v>66</v>
      </c>
      <c r="S44">
        <v>97</v>
      </c>
      <c r="T44">
        <f t="shared" si="5"/>
        <v>248</v>
      </c>
    </row>
    <row r="45" spans="1:20">
      <c r="A45">
        <v>10</v>
      </c>
      <c r="B45" t="s">
        <v>19</v>
      </c>
      <c r="D45">
        <v>53</v>
      </c>
      <c r="E45">
        <v>90</v>
      </c>
      <c r="H45">
        <v>23</v>
      </c>
      <c r="I45">
        <f t="shared" si="4"/>
        <v>166</v>
      </c>
      <c r="L45">
        <v>9</v>
      </c>
      <c r="M45" t="s">
        <v>18</v>
      </c>
      <c r="O45">
        <v>29</v>
      </c>
      <c r="P45">
        <v>7</v>
      </c>
      <c r="S45">
        <v>9</v>
      </c>
      <c r="T45">
        <f t="shared" si="5"/>
        <v>45</v>
      </c>
    </row>
    <row r="46" spans="1:20">
      <c r="A46">
        <v>11</v>
      </c>
      <c r="B46" t="s">
        <v>25</v>
      </c>
      <c r="D46">
        <v>6</v>
      </c>
      <c r="E46">
        <v>1</v>
      </c>
      <c r="F46">
        <v>0</v>
      </c>
      <c r="G46">
        <v>4</v>
      </c>
      <c r="H46">
        <v>4</v>
      </c>
      <c r="I46">
        <f>D46+E46+H46</f>
        <v>11</v>
      </c>
      <c r="L46">
        <v>10</v>
      </c>
      <c r="M46" t="s">
        <v>19</v>
      </c>
      <c r="O46">
        <v>53</v>
      </c>
      <c r="P46">
        <v>88</v>
      </c>
      <c r="S46">
        <v>12</v>
      </c>
      <c r="T46">
        <f t="shared" si="5"/>
        <v>153</v>
      </c>
    </row>
    <row r="47" spans="1:20">
      <c r="A47">
        <v>12</v>
      </c>
      <c r="B47" t="s">
        <v>20</v>
      </c>
      <c r="D47">
        <v>133</v>
      </c>
      <c r="E47">
        <v>109</v>
      </c>
      <c r="F47">
        <v>4</v>
      </c>
      <c r="G47">
        <v>6</v>
      </c>
      <c r="H47">
        <v>10</v>
      </c>
      <c r="I47">
        <f>D47+E47+H47</f>
        <v>252</v>
      </c>
      <c r="L47">
        <v>11</v>
      </c>
      <c r="M47" t="s">
        <v>25</v>
      </c>
      <c r="O47">
        <v>7</v>
      </c>
      <c r="P47">
        <v>3</v>
      </c>
      <c r="Q47">
        <v>0</v>
      </c>
      <c r="R47">
        <v>0</v>
      </c>
      <c r="S47">
        <v>0</v>
      </c>
      <c r="T47">
        <f>O47+P47+S47</f>
        <v>10</v>
      </c>
    </row>
    <row r="48" spans="1:20">
      <c r="A48">
        <v>13</v>
      </c>
      <c r="B48" t="s">
        <v>27</v>
      </c>
      <c r="D48">
        <v>199</v>
      </c>
      <c r="E48">
        <v>202</v>
      </c>
      <c r="F48">
        <v>32</v>
      </c>
      <c r="G48">
        <v>20</v>
      </c>
      <c r="H48">
        <v>52</v>
      </c>
      <c r="I48">
        <f>D48+E48+H48</f>
        <v>453</v>
      </c>
      <c r="L48">
        <v>12</v>
      </c>
      <c r="M48" t="s">
        <v>20</v>
      </c>
      <c r="O48">
        <v>101</v>
      </c>
      <c r="P48">
        <v>130</v>
      </c>
      <c r="Q48">
        <v>8</v>
      </c>
      <c r="R48">
        <v>10</v>
      </c>
      <c r="S48">
        <v>18</v>
      </c>
      <c r="T48">
        <f>O48+P48+S48</f>
        <v>249</v>
      </c>
    </row>
    <row r="49" spans="1:20">
      <c r="B49" t="s">
        <v>8</v>
      </c>
      <c r="I49">
        <f>I36+I37+I38+I39+I40+I41+I42+I43+I44+I45+I46+I47+I48</f>
        <v>1546</v>
      </c>
      <c r="L49">
        <v>13</v>
      </c>
      <c r="M49" t="s">
        <v>27</v>
      </c>
      <c r="T49">
        <f>O49+P49+S49</f>
        <v>0</v>
      </c>
    </row>
    <row r="50" spans="1:20">
      <c r="L50">
        <v>14</v>
      </c>
      <c r="M50" t="s">
        <v>37</v>
      </c>
      <c r="O50">
        <v>25</v>
      </c>
      <c r="P50">
        <v>13</v>
      </c>
      <c r="Q50">
        <v>0</v>
      </c>
      <c r="R50">
        <v>0</v>
      </c>
      <c r="S50">
        <v>0</v>
      </c>
      <c r="T50">
        <f>O50+P50+S50</f>
        <v>38</v>
      </c>
    </row>
    <row r="51" spans="1:20">
      <c r="M51" t="s">
        <v>8</v>
      </c>
      <c r="T51">
        <f>T37+T38+T39+T40+T41+T42+T43+T44+T45+T46+T47+T48+T49+T50</f>
        <v>1170</v>
      </c>
    </row>
    <row r="52" spans="1:20">
      <c r="B52" t="s">
        <v>38</v>
      </c>
    </row>
    <row r="53" spans="1:20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</row>
    <row r="54" spans="1:20">
      <c r="A54">
        <v>1</v>
      </c>
      <c r="B54" t="s">
        <v>9</v>
      </c>
      <c r="C54" t="s">
        <v>39</v>
      </c>
      <c r="D54">
        <v>24</v>
      </c>
      <c r="E54">
        <v>16</v>
      </c>
      <c r="F54">
        <v>3</v>
      </c>
      <c r="G54">
        <v>5</v>
      </c>
      <c r="H54">
        <v>8</v>
      </c>
      <c r="I54">
        <f>D54+E54+H54</f>
        <v>48</v>
      </c>
      <c r="M54" t="s">
        <v>38</v>
      </c>
      <c r="N54" t="s">
        <v>40</v>
      </c>
    </row>
    <row r="55" spans="1:20">
      <c r="A55">
        <v>2</v>
      </c>
      <c r="B55" t="s">
        <v>11</v>
      </c>
      <c r="D55">
        <v>13</v>
      </c>
      <c r="E55">
        <v>7</v>
      </c>
      <c r="F55">
        <v>1</v>
      </c>
      <c r="G55">
        <v>9</v>
      </c>
      <c r="H55">
        <v>10</v>
      </c>
      <c r="I55">
        <f>D55+E55+H55</f>
        <v>30</v>
      </c>
      <c r="L55" t="s">
        <v>0</v>
      </c>
      <c r="M55" t="s">
        <v>1</v>
      </c>
      <c r="N55" t="s">
        <v>2</v>
      </c>
      <c r="O55" t="s">
        <v>3</v>
      </c>
      <c r="P55" t="s">
        <v>4</v>
      </c>
      <c r="Q55" t="s">
        <v>5</v>
      </c>
      <c r="R55" t="s">
        <v>6</v>
      </c>
      <c r="S55" t="s">
        <v>7</v>
      </c>
      <c r="T55" t="s">
        <v>8</v>
      </c>
    </row>
    <row r="56" spans="1:20">
      <c r="A56">
        <v>3</v>
      </c>
      <c r="B56" t="s">
        <v>12</v>
      </c>
      <c r="D56">
        <v>35</v>
      </c>
      <c r="E56">
        <v>28</v>
      </c>
      <c r="H56">
        <v>0</v>
      </c>
      <c r="I56">
        <f>SUM(D56,E56,H56)</f>
        <v>63</v>
      </c>
      <c r="L56">
        <v>1</v>
      </c>
      <c r="M56" t="s">
        <v>9</v>
      </c>
      <c r="N56" t="s">
        <v>41</v>
      </c>
      <c r="O56">
        <v>29</v>
      </c>
      <c r="P56">
        <v>31</v>
      </c>
      <c r="Q56">
        <v>3</v>
      </c>
      <c r="R56">
        <v>2</v>
      </c>
      <c r="S56">
        <v>5</v>
      </c>
      <c r="T56">
        <f>O56+P56+S56</f>
        <v>65</v>
      </c>
    </row>
    <row r="57" spans="1:20">
      <c r="A57">
        <v>4</v>
      </c>
      <c r="B57" t="s">
        <v>13</v>
      </c>
      <c r="D57">
        <v>18</v>
      </c>
      <c r="E57">
        <v>7</v>
      </c>
      <c r="F57">
        <v>0</v>
      </c>
      <c r="G57">
        <v>0</v>
      </c>
      <c r="H57">
        <v>0</v>
      </c>
      <c r="I57">
        <f t="shared" ref="I57:I63" si="6">D57+E57+H57</f>
        <v>25</v>
      </c>
      <c r="L57">
        <v>2</v>
      </c>
      <c r="M57" t="s">
        <v>11</v>
      </c>
      <c r="O57">
        <v>16</v>
      </c>
      <c r="P57">
        <v>5</v>
      </c>
      <c r="Q57">
        <v>3</v>
      </c>
      <c r="R57">
        <v>2</v>
      </c>
      <c r="S57">
        <v>5</v>
      </c>
      <c r="T57">
        <f>O57+P57+S57</f>
        <v>26</v>
      </c>
    </row>
    <row r="58" spans="1:20">
      <c r="A58">
        <v>5</v>
      </c>
      <c r="B58" t="s">
        <v>14</v>
      </c>
      <c r="I58">
        <f t="shared" si="6"/>
        <v>0</v>
      </c>
      <c r="L58">
        <v>3</v>
      </c>
      <c r="M58" t="s">
        <v>12</v>
      </c>
      <c r="O58">
        <v>31</v>
      </c>
      <c r="P58">
        <v>22</v>
      </c>
      <c r="Q58">
        <v>0</v>
      </c>
      <c r="R58">
        <v>0</v>
      </c>
      <c r="S58">
        <v>0</v>
      </c>
      <c r="T58">
        <f>SUM(O58,P58,S58)</f>
        <v>53</v>
      </c>
    </row>
    <row r="59" spans="1:20">
      <c r="A59">
        <v>6</v>
      </c>
      <c r="B59" t="s">
        <v>15</v>
      </c>
      <c r="D59">
        <v>67</v>
      </c>
      <c r="E59">
        <v>53</v>
      </c>
      <c r="H59">
        <v>0</v>
      </c>
      <c r="I59">
        <f t="shared" si="6"/>
        <v>120</v>
      </c>
      <c r="L59">
        <v>4</v>
      </c>
      <c r="M59" t="s">
        <v>13</v>
      </c>
      <c r="O59">
        <v>40</v>
      </c>
      <c r="P59">
        <v>11</v>
      </c>
      <c r="Q59">
        <v>2</v>
      </c>
      <c r="R59">
        <v>0</v>
      </c>
      <c r="S59">
        <v>2</v>
      </c>
      <c r="T59">
        <f t="shared" ref="T59:T65" si="7">O59+P59+S59</f>
        <v>53</v>
      </c>
    </row>
    <row r="60" spans="1:20">
      <c r="A60">
        <v>7</v>
      </c>
      <c r="B60" t="s">
        <v>16</v>
      </c>
      <c r="D60">
        <v>52</v>
      </c>
      <c r="E60">
        <v>46</v>
      </c>
      <c r="H60">
        <v>0</v>
      </c>
      <c r="I60">
        <f t="shared" si="6"/>
        <v>98</v>
      </c>
      <c r="L60">
        <v>5</v>
      </c>
      <c r="M60" t="s">
        <v>14</v>
      </c>
      <c r="T60">
        <f t="shared" si="7"/>
        <v>0</v>
      </c>
    </row>
    <row r="61" spans="1:20">
      <c r="A61">
        <v>8</v>
      </c>
      <c r="B61" t="s">
        <v>17</v>
      </c>
      <c r="D61">
        <v>33</v>
      </c>
      <c r="E61">
        <v>15</v>
      </c>
      <c r="H61">
        <v>1</v>
      </c>
      <c r="I61">
        <f t="shared" si="6"/>
        <v>49</v>
      </c>
      <c r="L61">
        <v>6</v>
      </c>
      <c r="M61" t="s">
        <v>15</v>
      </c>
      <c r="O61">
        <v>134</v>
      </c>
      <c r="P61">
        <v>79</v>
      </c>
      <c r="Q61">
        <v>0</v>
      </c>
      <c r="R61">
        <v>0</v>
      </c>
      <c r="S61">
        <v>0</v>
      </c>
      <c r="T61">
        <f t="shared" si="7"/>
        <v>213</v>
      </c>
    </row>
    <row r="62" spans="1:20">
      <c r="A62">
        <v>9</v>
      </c>
      <c r="B62" t="s">
        <v>18</v>
      </c>
      <c r="D62">
        <v>33</v>
      </c>
      <c r="E62">
        <v>17</v>
      </c>
      <c r="H62">
        <v>9</v>
      </c>
      <c r="I62">
        <f t="shared" si="6"/>
        <v>59</v>
      </c>
      <c r="L62">
        <v>7</v>
      </c>
      <c r="M62" t="s">
        <v>16</v>
      </c>
      <c r="O62">
        <v>39</v>
      </c>
      <c r="P62">
        <v>32</v>
      </c>
      <c r="S62">
        <v>0</v>
      </c>
      <c r="T62">
        <f t="shared" si="7"/>
        <v>71</v>
      </c>
    </row>
    <row r="63" spans="1:20">
      <c r="A63">
        <v>10</v>
      </c>
      <c r="B63" t="s">
        <v>19</v>
      </c>
      <c r="D63">
        <v>48</v>
      </c>
      <c r="E63">
        <v>62</v>
      </c>
      <c r="H63">
        <v>9</v>
      </c>
      <c r="I63">
        <f t="shared" si="6"/>
        <v>119</v>
      </c>
      <c r="L63">
        <v>8</v>
      </c>
      <c r="M63" t="s">
        <v>17</v>
      </c>
      <c r="T63">
        <f t="shared" si="7"/>
        <v>0</v>
      </c>
    </row>
    <row r="64" spans="1:20">
      <c r="A64">
        <v>11</v>
      </c>
      <c r="B64" t="s">
        <v>25</v>
      </c>
      <c r="D64">
        <v>10</v>
      </c>
      <c r="E64">
        <v>2</v>
      </c>
      <c r="F64">
        <v>1</v>
      </c>
      <c r="G64">
        <v>4</v>
      </c>
      <c r="H64">
        <v>5</v>
      </c>
      <c r="I64">
        <f>D64+E64+H64</f>
        <v>17</v>
      </c>
      <c r="L64">
        <v>9</v>
      </c>
      <c r="M64" t="s">
        <v>18</v>
      </c>
      <c r="O64">
        <v>39</v>
      </c>
      <c r="P64">
        <v>9</v>
      </c>
      <c r="S64">
        <v>3</v>
      </c>
      <c r="T64">
        <f t="shared" si="7"/>
        <v>51</v>
      </c>
    </row>
    <row r="65" spans="1:20">
      <c r="A65">
        <v>12</v>
      </c>
      <c r="B65" t="s">
        <v>27</v>
      </c>
      <c r="D65">
        <v>98</v>
      </c>
      <c r="E65">
        <v>134</v>
      </c>
      <c r="F65">
        <v>10</v>
      </c>
      <c r="G65">
        <v>14</v>
      </c>
      <c r="H65">
        <v>24</v>
      </c>
      <c r="I65">
        <f>D65+E65+H65</f>
        <v>256</v>
      </c>
      <c r="L65">
        <v>10</v>
      </c>
      <c r="M65" t="s">
        <v>19</v>
      </c>
      <c r="O65">
        <v>109</v>
      </c>
      <c r="P65">
        <v>68</v>
      </c>
      <c r="S65">
        <v>26</v>
      </c>
      <c r="T65">
        <f t="shared" si="7"/>
        <v>203</v>
      </c>
    </row>
    <row r="66" spans="1:20">
      <c r="B66" t="s">
        <v>8</v>
      </c>
      <c r="I66">
        <f>I54+I55+I56+I57+I58+I59+I60+I61+I62+I63+I64+I65</f>
        <v>884</v>
      </c>
      <c r="L66">
        <v>11</v>
      </c>
      <c r="M66" t="s">
        <v>25</v>
      </c>
      <c r="O66">
        <v>9</v>
      </c>
      <c r="P66">
        <v>3</v>
      </c>
      <c r="Q66">
        <v>2</v>
      </c>
      <c r="R66">
        <v>2</v>
      </c>
      <c r="S66">
        <v>4</v>
      </c>
      <c r="T66">
        <f>O66+P66+S66</f>
        <v>16</v>
      </c>
    </row>
    <row r="67" spans="1:20">
      <c r="L67">
        <v>12</v>
      </c>
      <c r="M67" t="s">
        <v>27</v>
      </c>
      <c r="O67">
        <v>213</v>
      </c>
      <c r="P67">
        <v>197</v>
      </c>
      <c r="Q67">
        <v>28</v>
      </c>
      <c r="R67">
        <v>26</v>
      </c>
      <c r="S67">
        <v>54</v>
      </c>
      <c r="T67">
        <f>O67+P67+S67</f>
        <v>464</v>
      </c>
    </row>
    <row r="68" spans="1:20">
      <c r="L68">
        <v>13</v>
      </c>
      <c r="M68" t="s">
        <v>20</v>
      </c>
      <c r="O68">
        <v>147</v>
      </c>
      <c r="P68">
        <v>102</v>
      </c>
      <c r="Q68">
        <v>11</v>
      </c>
      <c r="R68">
        <v>10</v>
      </c>
      <c r="S68">
        <v>21</v>
      </c>
      <c r="T68">
        <f>O68+P68+S68</f>
        <v>270</v>
      </c>
    </row>
    <row r="69" spans="1:20">
      <c r="M69" t="s">
        <v>8</v>
      </c>
      <c r="T69">
        <f>T56+T57+T58+T59+T60+T61+T62+T63+T64+T65+T66+T67+T68</f>
        <v>1485</v>
      </c>
    </row>
    <row r="72" spans="1:20">
      <c r="B72" t="s">
        <v>38</v>
      </c>
      <c r="C72" t="s">
        <v>42</v>
      </c>
      <c r="M72" t="s">
        <v>38</v>
      </c>
      <c r="N72" t="s">
        <v>44</v>
      </c>
    </row>
    <row r="73" spans="1:20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L73" t="s">
        <v>0</v>
      </c>
      <c r="M73" t="s">
        <v>1</v>
      </c>
      <c r="N73" t="s">
        <v>2</v>
      </c>
      <c r="O73" t="s">
        <v>3</v>
      </c>
      <c r="P73" t="s">
        <v>4</v>
      </c>
      <c r="Q73" t="s">
        <v>5</v>
      </c>
      <c r="R73" t="s">
        <v>6</v>
      </c>
      <c r="S73" t="s">
        <v>7</v>
      </c>
      <c r="T73" t="s">
        <v>8</v>
      </c>
    </row>
    <row r="74" spans="1:20">
      <c r="A74">
        <v>1</v>
      </c>
      <c r="B74" t="s">
        <v>9</v>
      </c>
      <c r="C74" t="s">
        <v>43</v>
      </c>
      <c r="D74">
        <v>29</v>
      </c>
      <c r="E74">
        <v>22</v>
      </c>
      <c r="F74">
        <v>6</v>
      </c>
      <c r="G74">
        <v>2</v>
      </c>
      <c r="H74">
        <v>8</v>
      </c>
      <c r="I74">
        <f>D74+E74+H74</f>
        <v>59</v>
      </c>
      <c r="L74">
        <v>1</v>
      </c>
      <c r="M74" t="s">
        <v>9</v>
      </c>
      <c r="N74" t="s">
        <v>45</v>
      </c>
      <c r="O74">
        <v>24</v>
      </c>
      <c r="P74">
        <v>18</v>
      </c>
      <c r="Q74">
        <v>4</v>
      </c>
      <c r="R74">
        <v>7</v>
      </c>
      <c r="S74">
        <v>11</v>
      </c>
      <c r="T74">
        <f>O74+P74+S74</f>
        <v>53</v>
      </c>
    </row>
    <row r="75" spans="1:20">
      <c r="A75">
        <v>2</v>
      </c>
      <c r="B75" t="s">
        <v>11</v>
      </c>
      <c r="D75">
        <v>16</v>
      </c>
      <c r="E75">
        <v>8</v>
      </c>
      <c r="F75">
        <v>6</v>
      </c>
      <c r="G75">
        <v>2</v>
      </c>
      <c r="H75">
        <v>8</v>
      </c>
      <c r="I75">
        <f>D75+E75+H75</f>
        <v>32</v>
      </c>
      <c r="L75">
        <v>2</v>
      </c>
      <c r="M75" t="s">
        <v>11</v>
      </c>
      <c r="O75">
        <v>16</v>
      </c>
      <c r="P75">
        <v>10</v>
      </c>
      <c r="Q75">
        <v>2</v>
      </c>
      <c r="R75">
        <v>0</v>
      </c>
      <c r="S75">
        <v>0</v>
      </c>
      <c r="T75">
        <f>O75+P75+S75</f>
        <v>26</v>
      </c>
    </row>
    <row r="76" spans="1:20">
      <c r="A76">
        <v>3</v>
      </c>
      <c r="B76" t="s">
        <v>12</v>
      </c>
      <c r="D76">
        <v>38</v>
      </c>
      <c r="E76">
        <v>36</v>
      </c>
      <c r="H76">
        <v>0</v>
      </c>
      <c r="I76">
        <f>SUM(D76,E76,H76)</f>
        <v>74</v>
      </c>
      <c r="L76">
        <v>3</v>
      </c>
      <c r="M76" t="s">
        <v>12</v>
      </c>
      <c r="O76">
        <v>61</v>
      </c>
      <c r="P76">
        <v>29</v>
      </c>
      <c r="Q76">
        <v>0</v>
      </c>
      <c r="R76">
        <v>0</v>
      </c>
      <c r="S76">
        <v>0</v>
      </c>
      <c r="T76">
        <f>SUM(O76,P76,S76)</f>
        <v>90</v>
      </c>
    </row>
    <row r="77" spans="1:20">
      <c r="A77">
        <v>4</v>
      </c>
      <c r="B77" t="s">
        <v>13</v>
      </c>
      <c r="D77">
        <v>27</v>
      </c>
      <c r="E77">
        <v>14</v>
      </c>
      <c r="F77">
        <v>1</v>
      </c>
      <c r="G77">
        <v>0</v>
      </c>
      <c r="H77">
        <v>1</v>
      </c>
      <c r="I77">
        <f t="shared" ref="I77:I83" si="8">D77+E77+H77</f>
        <v>42</v>
      </c>
      <c r="L77">
        <v>4</v>
      </c>
      <c r="M77" t="s">
        <v>13</v>
      </c>
      <c r="O77">
        <v>44</v>
      </c>
      <c r="P77">
        <v>9</v>
      </c>
      <c r="Q77">
        <v>0</v>
      </c>
      <c r="R77">
        <v>0</v>
      </c>
      <c r="S77">
        <v>0</v>
      </c>
      <c r="T77">
        <f t="shared" ref="T77:T83" si="9">O77+P77+S77</f>
        <v>53</v>
      </c>
    </row>
    <row r="78" spans="1:20">
      <c r="A78">
        <v>5</v>
      </c>
      <c r="B78" t="s">
        <v>14</v>
      </c>
      <c r="D78">
        <v>72</v>
      </c>
      <c r="E78">
        <v>147</v>
      </c>
      <c r="H78">
        <v>0</v>
      </c>
      <c r="I78">
        <f t="shared" si="8"/>
        <v>219</v>
      </c>
      <c r="L78">
        <v>5</v>
      </c>
      <c r="M78" t="s">
        <v>14</v>
      </c>
      <c r="O78">
        <v>61</v>
      </c>
      <c r="P78">
        <v>80</v>
      </c>
      <c r="S78">
        <v>15</v>
      </c>
      <c r="T78">
        <f t="shared" si="9"/>
        <v>156</v>
      </c>
    </row>
    <row r="79" spans="1:20">
      <c r="A79">
        <v>6</v>
      </c>
      <c r="B79" t="s">
        <v>15</v>
      </c>
      <c r="D79">
        <v>90</v>
      </c>
      <c r="E79">
        <v>66</v>
      </c>
      <c r="H79">
        <v>0</v>
      </c>
      <c r="I79">
        <f t="shared" si="8"/>
        <v>156</v>
      </c>
      <c r="L79">
        <v>6</v>
      </c>
      <c r="M79" t="s">
        <v>15</v>
      </c>
      <c r="O79">
        <v>103</v>
      </c>
      <c r="P79">
        <v>69</v>
      </c>
      <c r="Q79">
        <v>0</v>
      </c>
      <c r="R79">
        <v>0</v>
      </c>
      <c r="S79">
        <v>0</v>
      </c>
      <c r="T79">
        <f t="shared" si="9"/>
        <v>172</v>
      </c>
    </row>
    <row r="80" spans="1:20">
      <c r="A80">
        <v>7</v>
      </c>
      <c r="B80" t="s">
        <v>16</v>
      </c>
      <c r="I80">
        <f t="shared" si="8"/>
        <v>0</v>
      </c>
      <c r="L80">
        <v>7</v>
      </c>
      <c r="M80" t="s">
        <v>16</v>
      </c>
      <c r="O80">
        <v>53</v>
      </c>
      <c r="P80">
        <v>27</v>
      </c>
      <c r="Q80">
        <v>0</v>
      </c>
      <c r="R80">
        <v>0</v>
      </c>
      <c r="S80">
        <v>0</v>
      </c>
      <c r="T80">
        <f t="shared" si="9"/>
        <v>80</v>
      </c>
    </row>
    <row r="81" spans="1:20">
      <c r="A81">
        <v>8</v>
      </c>
      <c r="B81" t="s">
        <v>17</v>
      </c>
      <c r="D81">
        <v>12</v>
      </c>
      <c r="E81">
        <v>8</v>
      </c>
      <c r="H81">
        <v>5</v>
      </c>
      <c r="I81">
        <f t="shared" si="8"/>
        <v>25</v>
      </c>
      <c r="L81">
        <v>8</v>
      </c>
      <c r="M81" t="s">
        <v>17</v>
      </c>
      <c r="O81">
        <v>139</v>
      </c>
      <c r="P81">
        <v>165</v>
      </c>
      <c r="S81">
        <v>23</v>
      </c>
      <c r="T81">
        <f t="shared" si="9"/>
        <v>327</v>
      </c>
    </row>
    <row r="82" spans="1:20">
      <c r="A82">
        <v>9</v>
      </c>
      <c r="B82" t="s">
        <v>18</v>
      </c>
      <c r="D82">
        <v>49</v>
      </c>
      <c r="E82">
        <v>17</v>
      </c>
      <c r="H82">
        <v>8</v>
      </c>
      <c r="I82">
        <f t="shared" si="8"/>
        <v>74</v>
      </c>
      <c r="L82">
        <v>9</v>
      </c>
      <c r="M82" t="s">
        <v>18</v>
      </c>
      <c r="O82">
        <v>16</v>
      </c>
      <c r="P82">
        <v>14</v>
      </c>
      <c r="S82">
        <v>5</v>
      </c>
      <c r="T82">
        <f t="shared" si="9"/>
        <v>35</v>
      </c>
    </row>
    <row r="83" spans="1:20">
      <c r="A83">
        <v>10</v>
      </c>
      <c r="B83" t="s">
        <v>19</v>
      </c>
      <c r="D83">
        <v>93</v>
      </c>
      <c r="E83">
        <v>136</v>
      </c>
      <c r="H83">
        <v>28</v>
      </c>
      <c r="I83">
        <f t="shared" si="8"/>
        <v>257</v>
      </c>
      <c r="L83">
        <v>10</v>
      </c>
      <c r="M83" t="s">
        <v>19</v>
      </c>
      <c r="O83">
        <v>97</v>
      </c>
      <c r="P83">
        <v>142</v>
      </c>
      <c r="S83">
        <v>31</v>
      </c>
      <c r="T83">
        <f t="shared" si="9"/>
        <v>270</v>
      </c>
    </row>
    <row r="84" spans="1:20">
      <c r="A84">
        <v>11</v>
      </c>
      <c r="B84" t="s">
        <v>25</v>
      </c>
      <c r="D84">
        <v>10</v>
      </c>
      <c r="E84">
        <v>5</v>
      </c>
      <c r="F84">
        <v>11</v>
      </c>
      <c r="G84">
        <v>7</v>
      </c>
      <c r="H84">
        <v>18</v>
      </c>
      <c r="I84">
        <f>D84+E84+H84</f>
        <v>33</v>
      </c>
      <c r="L84">
        <v>11</v>
      </c>
      <c r="M84" t="s">
        <v>25</v>
      </c>
      <c r="O84">
        <v>8</v>
      </c>
      <c r="P84">
        <v>3</v>
      </c>
      <c r="Q84">
        <v>0</v>
      </c>
      <c r="R84">
        <v>0</v>
      </c>
      <c r="S84">
        <v>0</v>
      </c>
      <c r="T84">
        <f>O84+P84+S84</f>
        <v>11</v>
      </c>
    </row>
    <row r="85" spans="1:20">
      <c r="A85">
        <v>12</v>
      </c>
      <c r="B85" t="s">
        <v>27</v>
      </c>
      <c r="I85">
        <f>D85+E85+H85</f>
        <v>0</v>
      </c>
      <c r="L85">
        <v>12</v>
      </c>
      <c r="M85" t="s">
        <v>27</v>
      </c>
      <c r="O85">
        <v>216</v>
      </c>
      <c r="P85">
        <v>230</v>
      </c>
      <c r="Q85">
        <v>21</v>
      </c>
      <c r="R85">
        <v>19</v>
      </c>
      <c r="S85">
        <v>40</v>
      </c>
      <c r="T85">
        <f>O85+P85+S85</f>
        <v>486</v>
      </c>
    </row>
    <row r="86" spans="1:20">
      <c r="A86">
        <v>13</v>
      </c>
      <c r="B86" t="s">
        <v>20</v>
      </c>
      <c r="I86">
        <f>D86+E86+H86</f>
        <v>0</v>
      </c>
      <c r="L86">
        <v>13</v>
      </c>
      <c r="M86" t="s">
        <v>20</v>
      </c>
      <c r="T86">
        <f>O86+P86+S86</f>
        <v>0</v>
      </c>
    </row>
    <row r="87" spans="1:20">
      <c r="A87">
        <v>14</v>
      </c>
      <c r="B87" t="s">
        <v>32</v>
      </c>
      <c r="D87">
        <v>27</v>
      </c>
      <c r="E87">
        <v>24</v>
      </c>
      <c r="F87">
        <v>4</v>
      </c>
      <c r="G87">
        <v>1</v>
      </c>
      <c r="H87">
        <v>5</v>
      </c>
      <c r="I87">
        <f>D87+E87+H87</f>
        <v>56</v>
      </c>
      <c r="L87">
        <v>14</v>
      </c>
      <c r="M87" t="s">
        <v>32</v>
      </c>
      <c r="T87">
        <f>O87+P87+S87</f>
        <v>0</v>
      </c>
    </row>
    <row r="88" spans="1:20">
      <c r="B88" t="s">
        <v>8</v>
      </c>
      <c r="I88">
        <f>I74+I75+I76+I77+I78+I79+I80+I81+I82+I83+I84+I85+I86+I87</f>
        <v>1027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2025-04-10T11:17:09Z</dcterms:created>
  <dcterms:modified xsi:type="dcterms:W3CDTF">2025-04-11T09:30:16Z</dcterms:modified>
</cp:coreProperties>
</file>