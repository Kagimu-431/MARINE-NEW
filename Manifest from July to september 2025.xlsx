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490" i="1"/>
  <c r="I514"/>
  <c r="Q626" l="1"/>
  <c r="P626"/>
  <c r="U625"/>
  <c r="U624"/>
  <c r="U623"/>
  <c r="U622"/>
  <c r="U621"/>
  <c r="U620"/>
  <c r="U619"/>
  <c r="U618"/>
  <c r="U617"/>
  <c r="U616"/>
  <c r="U615"/>
  <c r="U614"/>
  <c r="U613"/>
  <c r="U612"/>
  <c r="U611"/>
  <c r="U610"/>
  <c r="U608"/>
  <c r="U607"/>
  <c r="U606"/>
  <c r="U626" s="1"/>
  <c r="E626"/>
  <c r="D626"/>
  <c r="I625"/>
  <c r="I624"/>
  <c r="I623"/>
  <c r="I622"/>
  <c r="I621"/>
  <c r="I620"/>
  <c r="I619"/>
  <c r="I618"/>
  <c r="I617"/>
  <c r="I616"/>
  <c r="I615"/>
  <c r="I614"/>
  <c r="I613"/>
  <c r="I612"/>
  <c r="I611"/>
  <c r="I610"/>
  <c r="I608"/>
  <c r="I607"/>
  <c r="I606"/>
  <c r="I626" s="1"/>
  <c r="P603"/>
  <c r="O603"/>
  <c r="T602"/>
  <c r="T601"/>
  <c r="T600"/>
  <c r="T599"/>
  <c r="T598"/>
  <c r="T597"/>
  <c r="T596"/>
  <c r="T595"/>
  <c r="T594"/>
  <c r="T593"/>
  <c r="T592"/>
  <c r="T591"/>
  <c r="T590"/>
  <c r="T589"/>
  <c r="T588"/>
  <c r="T587"/>
  <c r="T585"/>
  <c r="T584"/>
  <c r="T583"/>
  <c r="T603" s="1"/>
  <c r="E603"/>
  <c r="D603"/>
  <c r="I602"/>
  <c r="I601"/>
  <c r="I600"/>
  <c r="I599"/>
  <c r="I598"/>
  <c r="I597"/>
  <c r="I596"/>
  <c r="I595"/>
  <c r="I594"/>
  <c r="I593"/>
  <c r="I592"/>
  <c r="I591"/>
  <c r="I590"/>
  <c r="I589"/>
  <c r="I588"/>
  <c r="I587"/>
  <c r="I585"/>
  <c r="I584"/>
  <c r="I603" s="1"/>
  <c r="I583"/>
  <c r="P579"/>
  <c r="O579"/>
  <c r="T578"/>
  <c r="T577"/>
  <c r="T576"/>
  <c r="T575"/>
  <c r="T574"/>
  <c r="T573"/>
  <c r="T572"/>
  <c r="T571"/>
  <c r="T570"/>
  <c r="T569"/>
  <c r="T568"/>
  <c r="T567"/>
  <c r="T566"/>
  <c r="T565"/>
  <c r="T564"/>
  <c r="T563"/>
  <c r="T561"/>
  <c r="T560"/>
  <c r="T559"/>
  <c r="T579" s="1"/>
  <c r="E579"/>
  <c r="D579"/>
  <c r="I578"/>
  <c r="I577"/>
  <c r="I576"/>
  <c r="I575"/>
  <c r="I574"/>
  <c r="I573"/>
  <c r="I572"/>
  <c r="I571"/>
  <c r="I570"/>
  <c r="I569"/>
  <c r="I568"/>
  <c r="I567"/>
  <c r="I566"/>
  <c r="I565"/>
  <c r="I564"/>
  <c r="I563"/>
  <c r="I561"/>
  <c r="I560"/>
  <c r="I579" s="1"/>
  <c r="I559"/>
  <c r="P555"/>
  <c r="O555"/>
  <c r="T554"/>
  <c r="T553"/>
  <c r="T552"/>
  <c r="T551"/>
  <c r="T550"/>
  <c r="T549"/>
  <c r="T548"/>
  <c r="T547"/>
  <c r="T546"/>
  <c r="T545"/>
  <c r="T544"/>
  <c r="T543"/>
  <c r="T542"/>
  <c r="T541"/>
  <c r="T540"/>
  <c r="T539"/>
  <c r="T537"/>
  <c r="T536"/>
  <c r="T535"/>
  <c r="T555" s="1"/>
  <c r="E555"/>
  <c r="D555"/>
  <c r="I554"/>
  <c r="I553"/>
  <c r="I552"/>
  <c r="I551"/>
  <c r="I550"/>
  <c r="I549"/>
  <c r="I548"/>
  <c r="I547"/>
  <c r="I546"/>
  <c r="I545"/>
  <c r="I544"/>
  <c r="I543"/>
  <c r="I542"/>
  <c r="I541"/>
  <c r="I540"/>
  <c r="I539"/>
  <c r="I537"/>
  <c r="I536"/>
  <c r="I535"/>
  <c r="I555" s="1"/>
  <c r="P531"/>
  <c r="O531"/>
  <c r="T530"/>
  <c r="T529"/>
  <c r="T528"/>
  <c r="T527"/>
  <c r="T526"/>
  <c r="T525"/>
  <c r="T524"/>
  <c r="T523"/>
  <c r="T522"/>
  <c r="T521"/>
  <c r="T520"/>
  <c r="T519"/>
  <c r="T518"/>
  <c r="T517"/>
  <c r="T516"/>
  <c r="T515"/>
  <c r="T513"/>
  <c r="T512"/>
  <c r="T511"/>
  <c r="T531" s="1"/>
  <c r="E531"/>
  <c r="D531"/>
  <c r="I530"/>
  <c r="I529"/>
  <c r="I528"/>
  <c r="I527"/>
  <c r="I526"/>
  <c r="I525"/>
  <c r="I524"/>
  <c r="I523"/>
  <c r="I522"/>
  <c r="I521"/>
  <c r="I520"/>
  <c r="I519"/>
  <c r="I518"/>
  <c r="I517"/>
  <c r="I516"/>
  <c r="I515"/>
  <c r="I513"/>
  <c r="I512"/>
  <c r="I511"/>
  <c r="P507"/>
  <c r="O507"/>
  <c r="T506"/>
  <c r="T505"/>
  <c r="T504"/>
  <c r="T503"/>
  <c r="T502"/>
  <c r="T501"/>
  <c r="T500"/>
  <c r="T499"/>
  <c r="T498"/>
  <c r="T497"/>
  <c r="T496"/>
  <c r="T495"/>
  <c r="T494"/>
  <c r="T493"/>
  <c r="T492"/>
  <c r="T491"/>
  <c r="T489"/>
  <c r="T488"/>
  <c r="T487"/>
  <c r="E507"/>
  <c r="D507"/>
  <c r="I506"/>
  <c r="I505"/>
  <c r="I504"/>
  <c r="I503"/>
  <c r="I502"/>
  <c r="I501"/>
  <c r="I500"/>
  <c r="I499"/>
  <c r="I498"/>
  <c r="I497"/>
  <c r="I496"/>
  <c r="I495"/>
  <c r="I494"/>
  <c r="I493"/>
  <c r="I492"/>
  <c r="I491"/>
  <c r="I489"/>
  <c r="I488"/>
  <c r="I487"/>
  <c r="P483"/>
  <c r="O483"/>
  <c r="T482"/>
  <c r="T481"/>
  <c r="T480"/>
  <c r="T479"/>
  <c r="T478"/>
  <c r="T477"/>
  <c r="T476"/>
  <c r="T475"/>
  <c r="T474"/>
  <c r="T473"/>
  <c r="T472"/>
  <c r="T471"/>
  <c r="T470"/>
  <c r="T469"/>
  <c r="T468"/>
  <c r="T467"/>
  <c r="T465"/>
  <c r="T464"/>
  <c r="T463"/>
  <c r="E483"/>
  <c r="D483"/>
  <c r="I482"/>
  <c r="I481"/>
  <c r="I480"/>
  <c r="I479"/>
  <c r="I478"/>
  <c r="I477"/>
  <c r="I476"/>
  <c r="I475"/>
  <c r="I474"/>
  <c r="I473"/>
  <c r="I472"/>
  <c r="I471"/>
  <c r="I470"/>
  <c r="I469"/>
  <c r="I468"/>
  <c r="I467"/>
  <c r="I465"/>
  <c r="I464"/>
  <c r="I463"/>
  <c r="I443"/>
  <c r="T397"/>
  <c r="I397"/>
  <c r="T374"/>
  <c r="I351"/>
  <c r="T345"/>
  <c r="T340"/>
  <c r="T338"/>
  <c r="T337"/>
  <c r="T336"/>
  <c r="T335"/>
  <c r="T334"/>
  <c r="T333"/>
  <c r="T332"/>
  <c r="T331"/>
  <c r="T330"/>
  <c r="T329"/>
  <c r="T328"/>
  <c r="T326"/>
  <c r="T325"/>
  <c r="P460"/>
  <c r="O460"/>
  <c r="T459"/>
  <c r="T458"/>
  <c r="T457"/>
  <c r="T456"/>
  <c r="T455"/>
  <c r="T454"/>
  <c r="T453"/>
  <c r="T452"/>
  <c r="T451"/>
  <c r="T450"/>
  <c r="T449"/>
  <c r="T448"/>
  <c r="T447"/>
  <c r="T446"/>
  <c r="T445"/>
  <c r="T444"/>
  <c r="T442"/>
  <c r="T441"/>
  <c r="T440"/>
  <c r="E460"/>
  <c r="D460"/>
  <c r="I459"/>
  <c r="I458"/>
  <c r="I457"/>
  <c r="I456"/>
  <c r="I455"/>
  <c r="I454"/>
  <c r="I453"/>
  <c r="I452"/>
  <c r="I451"/>
  <c r="I450"/>
  <c r="I449"/>
  <c r="I448"/>
  <c r="I447"/>
  <c r="I446"/>
  <c r="I445"/>
  <c r="I444"/>
  <c r="I442"/>
  <c r="I441"/>
  <c r="I440"/>
  <c r="P437"/>
  <c r="O437"/>
  <c r="T436"/>
  <c r="T435"/>
  <c r="T434"/>
  <c r="T433"/>
  <c r="T432"/>
  <c r="T431"/>
  <c r="T430"/>
  <c r="T429"/>
  <c r="T428"/>
  <c r="T427"/>
  <c r="T426"/>
  <c r="T425"/>
  <c r="T424"/>
  <c r="T423"/>
  <c r="T422"/>
  <c r="T421"/>
  <c r="T419"/>
  <c r="T418"/>
  <c r="T417"/>
  <c r="E437"/>
  <c r="D437"/>
  <c r="I436"/>
  <c r="I435"/>
  <c r="I434"/>
  <c r="I433"/>
  <c r="I432"/>
  <c r="I431"/>
  <c r="I430"/>
  <c r="I429"/>
  <c r="I428"/>
  <c r="I427"/>
  <c r="I426"/>
  <c r="I425"/>
  <c r="I424"/>
  <c r="I423"/>
  <c r="I422"/>
  <c r="I421"/>
  <c r="I419"/>
  <c r="I418"/>
  <c r="I417"/>
  <c r="P414"/>
  <c r="O414"/>
  <c r="T413"/>
  <c r="T412"/>
  <c r="T411"/>
  <c r="T410"/>
  <c r="T409"/>
  <c r="T408"/>
  <c r="T407"/>
  <c r="T406"/>
  <c r="T405"/>
  <c r="T404"/>
  <c r="T403"/>
  <c r="T402"/>
  <c r="T401"/>
  <c r="T400"/>
  <c r="T399"/>
  <c r="T398"/>
  <c r="T396"/>
  <c r="T395"/>
  <c r="T394"/>
  <c r="E414"/>
  <c r="D414"/>
  <c r="I413"/>
  <c r="I412"/>
  <c r="I411"/>
  <c r="I410"/>
  <c r="I409"/>
  <c r="I408"/>
  <c r="I407"/>
  <c r="I406"/>
  <c r="I405"/>
  <c r="I404"/>
  <c r="I403"/>
  <c r="I402"/>
  <c r="I401"/>
  <c r="I400"/>
  <c r="I399"/>
  <c r="I398"/>
  <c r="I396"/>
  <c r="I395"/>
  <c r="I394"/>
  <c r="P391"/>
  <c r="O391"/>
  <c r="T390"/>
  <c r="T389"/>
  <c r="T388"/>
  <c r="T387"/>
  <c r="T386"/>
  <c r="T385"/>
  <c r="T384"/>
  <c r="T383"/>
  <c r="T382"/>
  <c r="T381"/>
  <c r="T380"/>
  <c r="T379"/>
  <c r="T378"/>
  <c r="T377"/>
  <c r="T376"/>
  <c r="T375"/>
  <c r="T373"/>
  <c r="T372"/>
  <c r="T371"/>
  <c r="E391"/>
  <c r="D391"/>
  <c r="I390"/>
  <c r="I389"/>
  <c r="I388"/>
  <c r="I387"/>
  <c r="I386"/>
  <c r="I385"/>
  <c r="I384"/>
  <c r="I383"/>
  <c r="I382"/>
  <c r="I381"/>
  <c r="I380"/>
  <c r="I379"/>
  <c r="I378"/>
  <c r="I377"/>
  <c r="I376"/>
  <c r="I375"/>
  <c r="I373"/>
  <c r="I372"/>
  <c r="I371"/>
  <c r="P368"/>
  <c r="O368"/>
  <c r="T367"/>
  <c r="T366"/>
  <c r="T365"/>
  <c r="T364"/>
  <c r="T363"/>
  <c r="T362"/>
  <c r="T361"/>
  <c r="T360"/>
  <c r="T359"/>
  <c r="T358"/>
  <c r="T357"/>
  <c r="T356"/>
  <c r="T355"/>
  <c r="T354"/>
  <c r="T353"/>
  <c r="T352"/>
  <c r="T350"/>
  <c r="T349"/>
  <c r="T348"/>
  <c r="E368"/>
  <c r="D368"/>
  <c r="I367"/>
  <c r="I366"/>
  <c r="I365"/>
  <c r="I364"/>
  <c r="I363"/>
  <c r="I362"/>
  <c r="I361"/>
  <c r="I360"/>
  <c r="I359"/>
  <c r="I358"/>
  <c r="I357"/>
  <c r="I356"/>
  <c r="I355"/>
  <c r="I354"/>
  <c r="I353"/>
  <c r="I352"/>
  <c r="I350"/>
  <c r="I349"/>
  <c r="I348"/>
  <c r="P345"/>
  <c r="O345"/>
  <c r="T344"/>
  <c r="T343"/>
  <c r="T342"/>
  <c r="T341"/>
  <c r="T339"/>
  <c r="T327"/>
  <c r="E345"/>
  <c r="D345"/>
  <c r="I344"/>
  <c r="I343"/>
  <c r="I342"/>
  <c r="I341"/>
  <c r="I340"/>
  <c r="I339"/>
  <c r="I338"/>
  <c r="I337"/>
  <c r="I336"/>
  <c r="I335"/>
  <c r="I334"/>
  <c r="I333"/>
  <c r="I332"/>
  <c r="I331"/>
  <c r="I330"/>
  <c r="I329"/>
  <c r="I327"/>
  <c r="I326"/>
  <c r="I325"/>
  <c r="P320"/>
  <c r="O320"/>
  <c r="T318"/>
  <c r="T317"/>
  <c r="T316"/>
  <c r="T315"/>
  <c r="T314"/>
  <c r="T313"/>
  <c r="T312"/>
  <c r="T311"/>
  <c r="T310"/>
  <c r="T309"/>
  <c r="T308"/>
  <c r="T307"/>
  <c r="T306"/>
  <c r="T305"/>
  <c r="T304"/>
  <c r="T303"/>
  <c r="T301"/>
  <c r="T300"/>
  <c r="T299"/>
  <c r="E320"/>
  <c r="D320"/>
  <c r="I318"/>
  <c r="I317"/>
  <c r="I316"/>
  <c r="I315"/>
  <c r="I314"/>
  <c r="I313"/>
  <c r="I312"/>
  <c r="I311"/>
  <c r="I310"/>
  <c r="I309"/>
  <c r="I308"/>
  <c r="I307"/>
  <c r="I306"/>
  <c r="I305"/>
  <c r="I304"/>
  <c r="I303"/>
  <c r="I301"/>
  <c r="I300"/>
  <c r="I299"/>
  <c r="P294"/>
  <c r="O294"/>
  <c r="T293"/>
  <c r="T292"/>
  <c r="T291"/>
  <c r="T290"/>
  <c r="T289"/>
  <c r="T288"/>
  <c r="T287"/>
  <c r="T286"/>
  <c r="T285"/>
  <c r="T284"/>
  <c r="T283"/>
  <c r="T282"/>
  <c r="T281"/>
  <c r="T280"/>
  <c r="T279"/>
  <c r="T278"/>
  <c r="T276"/>
  <c r="T275"/>
  <c r="T274"/>
  <c r="E294"/>
  <c r="D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P270"/>
  <c r="O270"/>
  <c r="T269"/>
  <c r="T268"/>
  <c r="T267"/>
  <c r="T266"/>
  <c r="T265"/>
  <c r="T264"/>
  <c r="T263"/>
  <c r="T262"/>
  <c r="T261"/>
  <c r="T260"/>
  <c r="T259"/>
  <c r="T258"/>
  <c r="T257"/>
  <c r="T256"/>
  <c r="T255"/>
  <c r="T254"/>
  <c r="T253"/>
  <c r="T252"/>
  <c r="T251"/>
  <c r="T250"/>
  <c r="E270"/>
  <c r="D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P246"/>
  <c r="O246"/>
  <c r="T245"/>
  <c r="T244"/>
  <c r="T243"/>
  <c r="T242"/>
  <c r="T241"/>
  <c r="T240"/>
  <c r="T239"/>
  <c r="T238"/>
  <c r="T237"/>
  <c r="T236"/>
  <c r="T235"/>
  <c r="T234"/>
  <c r="T233"/>
  <c r="T232"/>
  <c r="T231"/>
  <c r="T230"/>
  <c r="T229"/>
  <c r="T228"/>
  <c r="T227"/>
  <c r="T226"/>
  <c r="E246"/>
  <c r="D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P222"/>
  <c r="O222"/>
  <c r="T221"/>
  <c r="T220"/>
  <c r="T219"/>
  <c r="T218"/>
  <c r="T217"/>
  <c r="T216"/>
  <c r="T215"/>
  <c r="T214"/>
  <c r="T213"/>
  <c r="T212"/>
  <c r="T211"/>
  <c r="T210"/>
  <c r="T209"/>
  <c r="T208"/>
  <c r="T207"/>
  <c r="T206"/>
  <c r="T205"/>
  <c r="T204"/>
  <c r="T203"/>
  <c r="T202"/>
  <c r="E222"/>
  <c r="D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P197"/>
  <c r="O197"/>
  <c r="T196"/>
  <c r="T195"/>
  <c r="T194"/>
  <c r="T193"/>
  <c r="T192"/>
  <c r="T191"/>
  <c r="T190"/>
  <c r="T189"/>
  <c r="T188"/>
  <c r="T187"/>
  <c r="T186"/>
  <c r="T185"/>
  <c r="T184"/>
  <c r="T183"/>
  <c r="T182"/>
  <c r="T181"/>
  <c r="T180"/>
  <c r="T179"/>
  <c r="T178"/>
  <c r="T177"/>
  <c r="E197"/>
  <c r="D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P172"/>
  <c r="O172"/>
  <c r="T171"/>
  <c r="T170"/>
  <c r="T169"/>
  <c r="T168"/>
  <c r="T167"/>
  <c r="T166"/>
  <c r="T165"/>
  <c r="T164"/>
  <c r="T163"/>
  <c r="T162"/>
  <c r="T161"/>
  <c r="T160"/>
  <c r="T159"/>
  <c r="T158"/>
  <c r="T157"/>
  <c r="T156"/>
  <c r="T155"/>
  <c r="T154"/>
  <c r="T153"/>
  <c r="T152"/>
  <c r="E172"/>
  <c r="D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P147"/>
  <c r="O147"/>
  <c r="T146"/>
  <c r="T145"/>
  <c r="T144"/>
  <c r="T143"/>
  <c r="T142"/>
  <c r="T141"/>
  <c r="T140"/>
  <c r="T139"/>
  <c r="T138"/>
  <c r="T137"/>
  <c r="T136"/>
  <c r="T135"/>
  <c r="T134"/>
  <c r="T133"/>
  <c r="T132"/>
  <c r="T131"/>
  <c r="T130"/>
  <c r="T129"/>
  <c r="T128"/>
  <c r="T127"/>
  <c r="E147"/>
  <c r="D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P123"/>
  <c r="O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E123"/>
  <c r="D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P99"/>
  <c r="O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E99"/>
  <c r="D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P75"/>
  <c r="O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E75"/>
  <c r="D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T483" l="1"/>
  <c r="T460"/>
  <c r="I531"/>
  <c r="T507"/>
  <c r="I507"/>
  <c r="I483"/>
  <c r="I460"/>
  <c r="T437"/>
  <c r="I437"/>
  <c r="T414"/>
  <c r="I414"/>
  <c r="T391"/>
  <c r="I391"/>
  <c r="T368"/>
  <c r="I368"/>
  <c r="I345"/>
  <c r="T320"/>
  <c r="I320"/>
  <c r="T294"/>
  <c r="I294"/>
  <c r="T270"/>
  <c r="I270"/>
  <c r="T246"/>
  <c r="I246"/>
  <c r="T222"/>
  <c r="I222"/>
  <c r="T197"/>
  <c r="I197"/>
  <c r="T172"/>
  <c r="I172"/>
  <c r="T147"/>
  <c r="I147"/>
  <c r="T123"/>
  <c r="T99"/>
  <c r="I123"/>
  <c r="I99"/>
  <c r="T75"/>
  <c r="I75"/>
  <c r="S39"/>
  <c r="T39" s="1"/>
  <c r="T33"/>
  <c r="T31"/>
  <c r="T28"/>
  <c r="T30"/>
  <c r="T29"/>
  <c r="T43"/>
  <c r="T38"/>
  <c r="T41"/>
  <c r="I28"/>
  <c r="I29"/>
  <c r="I30"/>
  <c r="I31"/>
  <c r="I32"/>
  <c r="I33"/>
  <c r="I34"/>
  <c r="T34"/>
  <c r="I35"/>
  <c r="T35"/>
  <c r="I36"/>
  <c r="T36"/>
  <c r="I38"/>
  <c r="I39"/>
  <c r="I45"/>
  <c r="T7"/>
  <c r="T8"/>
  <c r="T6"/>
  <c r="T5"/>
  <c r="T3"/>
  <c r="T20"/>
  <c r="T13"/>
  <c r="T4"/>
  <c r="T16"/>
  <c r="I8"/>
  <c r="I3"/>
  <c r="I4"/>
  <c r="I6"/>
  <c r="I20"/>
  <c r="I5"/>
  <c r="I13"/>
  <c r="I16"/>
  <c r="T11"/>
  <c r="T10"/>
  <c r="T9"/>
  <c r="I11"/>
  <c r="I10"/>
  <c r="I9"/>
</calcChain>
</file>

<file path=xl/sharedStrings.xml><?xml version="1.0" encoding="utf-8"?>
<sst xmlns="http://schemas.openxmlformats.org/spreadsheetml/2006/main" count="2667" uniqueCount="63">
  <si>
    <t>MANIFESTS FOR 6TH APRIL 2025</t>
  </si>
  <si>
    <t>S/N</t>
  </si>
  <si>
    <t>DETACH</t>
  </si>
  <si>
    <t>DATE</t>
  </si>
  <si>
    <t>M/A</t>
  </si>
  <si>
    <t>F/A</t>
  </si>
  <si>
    <t>M/J</t>
  </si>
  <si>
    <t>F/J</t>
  </si>
  <si>
    <t>TC</t>
  </si>
  <si>
    <t>TOTAL</t>
  </si>
  <si>
    <t>ZONE</t>
  </si>
  <si>
    <t>SIGULU</t>
  </si>
  <si>
    <t>VSE</t>
  </si>
  <si>
    <t>NKOSE</t>
  </si>
  <si>
    <t>VS</t>
  </si>
  <si>
    <t>BWONDHA</t>
  </si>
  <si>
    <t>VE</t>
  </si>
  <si>
    <t>KASENSERO</t>
  </si>
  <si>
    <t>PANYIMUR</t>
  </si>
  <si>
    <t>Albertine</t>
  </si>
  <si>
    <t>KATOSI</t>
  </si>
  <si>
    <t>VN</t>
  </si>
  <si>
    <t>KALANGALA</t>
  </si>
  <si>
    <t>LOLWE</t>
  </si>
  <si>
    <t>BUKUNGU</t>
  </si>
  <si>
    <t>KYOGA</t>
  </si>
  <si>
    <t>JINJA</t>
  </si>
  <si>
    <t>SEBAGORO</t>
  </si>
  <si>
    <t>ZENGEBE</t>
  </si>
  <si>
    <t>KASENYI</t>
  </si>
  <si>
    <t>VSW</t>
  </si>
  <si>
    <t>LUGALA</t>
  </si>
  <si>
    <t>LIIBU</t>
  </si>
  <si>
    <t>VNE</t>
  </si>
  <si>
    <t>LUGUMBA</t>
  </si>
  <si>
    <t>SAMBA</t>
  </si>
  <si>
    <t>BUVUMA</t>
  </si>
  <si>
    <t>KAWONGO</t>
  </si>
  <si>
    <t>BUTIABA</t>
  </si>
  <si>
    <t>S FOR 1st JUly 2025</t>
  </si>
  <si>
    <t>S FOR 2nd JUly 2025</t>
  </si>
  <si>
    <t>S FOR 3rd JUly 2025</t>
  </si>
  <si>
    <t>S FOR 4th JUly 2025</t>
  </si>
  <si>
    <t>S FOR 5th JUNE 2025</t>
  </si>
  <si>
    <t>S FOR 6th JUNE 2025</t>
  </si>
  <si>
    <t>S FOR 7th JUNE 2025</t>
  </si>
  <si>
    <t>S FOR 8th JUNE 2025</t>
  </si>
  <si>
    <t>S FOR 9th JUNE 2025</t>
  </si>
  <si>
    <t>S FOR 10th JUNE 2025</t>
  </si>
  <si>
    <t>S FOR 11th JUNE 2025</t>
  </si>
  <si>
    <t>S FOR 12th JUNE 2025</t>
  </si>
  <si>
    <t>S FOR 13th JUNE 2025</t>
  </si>
  <si>
    <t>S FOR 14th JUNE 2025</t>
  </si>
  <si>
    <t>S FOR 15th JUNE 2025</t>
  </si>
  <si>
    <t>S FOR 16th JUNE 2025</t>
  </si>
  <si>
    <t>S FOR 17th JUNE 2025</t>
  </si>
  <si>
    <t>S FOR 18th JUNE 2025</t>
  </si>
  <si>
    <t>S FOR 19th JUNE 2025</t>
  </si>
  <si>
    <t>S FOR 20th JUNE 2025</t>
  </si>
  <si>
    <t>S FOR 21st  JUNE 2025</t>
  </si>
  <si>
    <t>MANIFESTS FOR 20th JULY  2025</t>
  </si>
  <si>
    <t>Migingo</t>
  </si>
  <si>
    <t>28h/7/25</t>
  </si>
</sst>
</file>

<file path=xl/styles.xml><?xml version="1.0" encoding="utf-8"?>
<styleSheet xmlns="http://schemas.openxmlformats.org/spreadsheetml/2006/main">
  <numFmts count="1">
    <numFmt numFmtId="165" formatCode="[$-409]d\-mmm\-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6"/>
  <sheetViews>
    <sheetView tabSelected="1" topLeftCell="A483" workbookViewId="0">
      <selection activeCell="T491" sqref="T491"/>
    </sheetView>
  </sheetViews>
  <sheetFormatPr defaultRowHeight="15"/>
  <cols>
    <col min="3" max="3" width="9.85546875" bestFit="1" customWidth="1"/>
    <col min="14" max="14" width="9.85546875" bestFit="1" customWidth="1"/>
  </cols>
  <sheetData>
    <row r="1" spans="1:21">
      <c r="B1" t="s">
        <v>0</v>
      </c>
      <c r="C1" t="s">
        <v>39</v>
      </c>
      <c r="M1" t="s">
        <v>0</v>
      </c>
      <c r="N1" t="s">
        <v>40</v>
      </c>
    </row>
    <row r="2" spans="1:2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7</v>
      </c>
      <c r="S2" t="s">
        <v>8</v>
      </c>
      <c r="T2" t="s">
        <v>9</v>
      </c>
      <c r="U2" t="s">
        <v>10</v>
      </c>
    </row>
    <row r="3" spans="1:21">
      <c r="A3">
        <v>1</v>
      </c>
      <c r="B3" t="s">
        <v>11</v>
      </c>
      <c r="C3" s="2">
        <v>45839</v>
      </c>
      <c r="D3">
        <v>21</v>
      </c>
      <c r="E3">
        <v>16</v>
      </c>
      <c r="F3">
        <v>5</v>
      </c>
      <c r="G3">
        <v>5</v>
      </c>
      <c r="H3">
        <v>10</v>
      </c>
      <c r="I3">
        <f>D3+E3+H3</f>
        <v>47</v>
      </c>
      <c r="J3" t="s">
        <v>12</v>
      </c>
      <c r="L3">
        <v>1</v>
      </c>
      <c r="M3" t="s">
        <v>11</v>
      </c>
      <c r="N3" s="2">
        <v>45840</v>
      </c>
      <c r="O3">
        <v>15</v>
      </c>
      <c r="P3">
        <v>21</v>
      </c>
      <c r="Q3">
        <v>2</v>
      </c>
      <c r="R3">
        <v>7</v>
      </c>
      <c r="S3">
        <v>9</v>
      </c>
      <c r="T3">
        <f t="shared" ref="T3:T11" si="0">O3+P3+S3</f>
        <v>45</v>
      </c>
      <c r="U3" t="s">
        <v>12</v>
      </c>
    </row>
    <row r="4" spans="1:21">
      <c r="A4">
        <v>2</v>
      </c>
      <c r="B4" t="s">
        <v>13</v>
      </c>
      <c r="C4" s="2">
        <v>45839</v>
      </c>
      <c r="D4">
        <v>16</v>
      </c>
      <c r="E4">
        <v>10</v>
      </c>
      <c r="F4">
        <v>4</v>
      </c>
      <c r="G4">
        <v>5</v>
      </c>
      <c r="H4">
        <v>9</v>
      </c>
      <c r="I4">
        <f>D4+E4+H4</f>
        <v>35</v>
      </c>
      <c r="J4" t="s">
        <v>14</v>
      </c>
      <c r="L4">
        <v>2</v>
      </c>
      <c r="M4" t="s">
        <v>13</v>
      </c>
      <c r="N4" s="2">
        <v>45840</v>
      </c>
      <c r="O4">
        <v>15</v>
      </c>
      <c r="P4">
        <v>9</v>
      </c>
      <c r="Q4">
        <v>2</v>
      </c>
      <c r="R4">
        <v>4</v>
      </c>
      <c r="S4">
        <v>6</v>
      </c>
      <c r="T4">
        <f t="shared" si="0"/>
        <v>30</v>
      </c>
      <c r="U4" t="s">
        <v>14</v>
      </c>
    </row>
    <row r="5" spans="1:21">
      <c r="A5">
        <v>3</v>
      </c>
      <c r="B5" t="s">
        <v>15</v>
      </c>
      <c r="C5" s="2">
        <v>45839</v>
      </c>
      <c r="D5">
        <v>39</v>
      </c>
      <c r="E5">
        <v>46</v>
      </c>
      <c r="H5">
        <v>0</v>
      </c>
      <c r="I5">
        <f>D5+E5+H5</f>
        <v>85</v>
      </c>
      <c r="J5" t="s">
        <v>16</v>
      </c>
      <c r="L5">
        <v>3</v>
      </c>
      <c r="M5" t="s">
        <v>15</v>
      </c>
      <c r="N5" s="2">
        <v>45840</v>
      </c>
      <c r="O5">
        <v>50</v>
      </c>
      <c r="P5">
        <v>37</v>
      </c>
      <c r="S5">
        <v>0</v>
      </c>
      <c r="T5">
        <f t="shared" si="0"/>
        <v>87</v>
      </c>
      <c r="U5" t="s">
        <v>16</v>
      </c>
    </row>
    <row r="6" spans="1:21">
      <c r="A6">
        <v>4</v>
      </c>
      <c r="B6" t="s">
        <v>17</v>
      </c>
      <c r="C6" s="2">
        <v>45839</v>
      </c>
      <c r="D6">
        <v>8</v>
      </c>
      <c r="E6">
        <v>3</v>
      </c>
      <c r="H6">
        <v>1</v>
      </c>
      <c r="I6">
        <f>D6+E6+H6</f>
        <v>12</v>
      </c>
      <c r="J6" t="s">
        <v>14</v>
      </c>
      <c r="L6">
        <v>4</v>
      </c>
      <c r="M6" t="s">
        <v>17</v>
      </c>
      <c r="N6" s="2">
        <v>45840</v>
      </c>
      <c r="O6">
        <v>41</v>
      </c>
      <c r="P6">
        <v>12</v>
      </c>
      <c r="S6">
        <v>1</v>
      </c>
      <c r="T6">
        <f t="shared" si="0"/>
        <v>54</v>
      </c>
      <c r="U6" t="s">
        <v>14</v>
      </c>
    </row>
    <row r="7" spans="1:21">
      <c r="A7">
        <v>5</v>
      </c>
      <c r="B7" t="s">
        <v>18</v>
      </c>
      <c r="C7" s="2">
        <v>45839</v>
      </c>
      <c r="I7">
        <v>0</v>
      </c>
      <c r="J7" t="s">
        <v>19</v>
      </c>
      <c r="L7">
        <v>5</v>
      </c>
      <c r="M7" t="s">
        <v>18</v>
      </c>
      <c r="N7" s="2">
        <v>45840</v>
      </c>
      <c r="O7">
        <v>291</v>
      </c>
      <c r="P7">
        <v>501</v>
      </c>
      <c r="S7">
        <v>217</v>
      </c>
      <c r="T7">
        <f t="shared" si="0"/>
        <v>1009</v>
      </c>
      <c r="U7" t="s">
        <v>19</v>
      </c>
    </row>
    <row r="8" spans="1:21">
      <c r="A8">
        <v>6</v>
      </c>
      <c r="B8" t="s">
        <v>20</v>
      </c>
      <c r="C8" s="2">
        <v>45839</v>
      </c>
      <c r="D8">
        <v>148</v>
      </c>
      <c r="E8">
        <v>98</v>
      </c>
      <c r="H8">
        <v>0</v>
      </c>
      <c r="I8">
        <f>D8+E8+H8</f>
        <v>246</v>
      </c>
      <c r="J8" t="s">
        <v>21</v>
      </c>
      <c r="L8">
        <v>6</v>
      </c>
      <c r="M8" t="s">
        <v>20</v>
      </c>
      <c r="N8" s="2">
        <v>45840</v>
      </c>
      <c r="O8">
        <v>95</v>
      </c>
      <c r="P8">
        <v>70</v>
      </c>
      <c r="S8">
        <v>0</v>
      </c>
      <c r="T8">
        <f t="shared" si="0"/>
        <v>165</v>
      </c>
      <c r="U8" t="s">
        <v>21</v>
      </c>
    </row>
    <row r="9" spans="1:21">
      <c r="A9">
        <v>7</v>
      </c>
      <c r="B9" t="s">
        <v>22</v>
      </c>
      <c r="C9" s="2">
        <v>45839</v>
      </c>
      <c r="D9">
        <v>55</v>
      </c>
      <c r="E9">
        <v>44</v>
      </c>
      <c r="H9">
        <v>0</v>
      </c>
      <c r="I9">
        <f>D9+E9+H9</f>
        <v>99</v>
      </c>
      <c r="J9" t="s">
        <v>14</v>
      </c>
      <c r="L9">
        <v>7</v>
      </c>
      <c r="M9" t="s">
        <v>22</v>
      </c>
      <c r="N9" s="2">
        <v>45840</v>
      </c>
      <c r="O9">
        <v>57</v>
      </c>
      <c r="P9">
        <v>31</v>
      </c>
      <c r="S9">
        <v>0</v>
      </c>
      <c r="T9">
        <f t="shared" si="0"/>
        <v>88</v>
      </c>
      <c r="U9" t="s">
        <v>14</v>
      </c>
    </row>
    <row r="10" spans="1:21">
      <c r="A10">
        <v>8</v>
      </c>
      <c r="B10" t="s">
        <v>23</v>
      </c>
      <c r="C10" s="2">
        <v>45839</v>
      </c>
      <c r="D10">
        <v>34</v>
      </c>
      <c r="E10">
        <v>26</v>
      </c>
      <c r="F10">
        <v>4</v>
      </c>
      <c r="G10">
        <v>1</v>
      </c>
      <c r="H10">
        <v>5</v>
      </c>
      <c r="I10">
        <f>D10+E10+H10</f>
        <v>65</v>
      </c>
      <c r="J10" t="s">
        <v>12</v>
      </c>
      <c r="L10">
        <v>8</v>
      </c>
      <c r="M10" t="s">
        <v>23</v>
      </c>
      <c r="N10" s="2">
        <v>45840</v>
      </c>
      <c r="O10">
        <v>25</v>
      </c>
      <c r="P10">
        <v>13</v>
      </c>
      <c r="Q10">
        <v>0</v>
      </c>
      <c r="R10">
        <v>2</v>
      </c>
      <c r="S10">
        <v>2</v>
      </c>
      <c r="T10">
        <f t="shared" si="0"/>
        <v>40</v>
      </c>
      <c r="U10" t="s">
        <v>12</v>
      </c>
    </row>
    <row r="11" spans="1:21">
      <c r="A11">
        <v>9</v>
      </c>
      <c r="B11" t="s">
        <v>24</v>
      </c>
      <c r="C11" s="2">
        <v>45839</v>
      </c>
      <c r="D11">
        <v>30</v>
      </c>
      <c r="E11">
        <v>18</v>
      </c>
      <c r="H11">
        <v>10</v>
      </c>
      <c r="I11">
        <f>D11+E11+H11</f>
        <v>58</v>
      </c>
      <c r="J11" t="s">
        <v>25</v>
      </c>
      <c r="L11">
        <v>9</v>
      </c>
      <c r="M11" t="s">
        <v>24</v>
      </c>
      <c r="N11" s="2">
        <v>45840</v>
      </c>
      <c r="O11">
        <v>32</v>
      </c>
      <c r="P11">
        <v>4</v>
      </c>
      <c r="S11">
        <v>3</v>
      </c>
      <c r="T11">
        <f t="shared" si="0"/>
        <v>39</v>
      </c>
      <c r="U11" t="s">
        <v>25</v>
      </c>
    </row>
    <row r="12" spans="1:21">
      <c r="A12">
        <v>10</v>
      </c>
      <c r="B12" t="s">
        <v>26</v>
      </c>
      <c r="C12" s="2">
        <v>45839</v>
      </c>
      <c r="I12">
        <v>0</v>
      </c>
      <c r="J12" t="s">
        <v>16</v>
      </c>
      <c r="L12">
        <v>10</v>
      </c>
      <c r="M12" t="s">
        <v>26</v>
      </c>
      <c r="N12" s="2">
        <v>45840</v>
      </c>
      <c r="O12">
        <v>76</v>
      </c>
      <c r="P12">
        <v>56</v>
      </c>
      <c r="S12">
        <v>21</v>
      </c>
      <c r="T12">
        <v>0</v>
      </c>
      <c r="U12" t="s">
        <v>16</v>
      </c>
    </row>
    <row r="13" spans="1:21">
      <c r="A13">
        <v>11</v>
      </c>
      <c r="B13" t="s">
        <v>27</v>
      </c>
      <c r="C13" s="2">
        <v>45839</v>
      </c>
      <c r="D13">
        <v>14</v>
      </c>
      <c r="E13">
        <v>2</v>
      </c>
      <c r="F13">
        <v>0</v>
      </c>
      <c r="G13">
        <v>0</v>
      </c>
      <c r="H13">
        <v>0</v>
      </c>
      <c r="I13">
        <f>D13+E13+H13</f>
        <v>16</v>
      </c>
      <c r="J13" t="s">
        <v>19</v>
      </c>
      <c r="L13">
        <v>11</v>
      </c>
      <c r="M13" t="s">
        <v>27</v>
      </c>
      <c r="N13" s="2">
        <v>45840</v>
      </c>
      <c r="O13">
        <v>7</v>
      </c>
      <c r="P13">
        <v>2</v>
      </c>
      <c r="S13">
        <v>0</v>
      </c>
      <c r="T13">
        <f>O13+P13+S13</f>
        <v>9</v>
      </c>
      <c r="U13" t="s">
        <v>19</v>
      </c>
    </row>
    <row r="14" spans="1:21">
      <c r="A14">
        <v>12</v>
      </c>
      <c r="B14" t="s">
        <v>28</v>
      </c>
      <c r="C14" s="2">
        <v>45839</v>
      </c>
      <c r="I14">
        <v>0</v>
      </c>
      <c r="J14" t="s">
        <v>25</v>
      </c>
      <c r="L14">
        <v>12</v>
      </c>
      <c r="M14" t="s">
        <v>28</v>
      </c>
      <c r="N14" s="2">
        <v>45840</v>
      </c>
      <c r="T14">
        <v>0</v>
      </c>
      <c r="U14" t="s">
        <v>25</v>
      </c>
    </row>
    <row r="15" spans="1:21">
      <c r="A15">
        <v>13</v>
      </c>
      <c r="B15" t="s">
        <v>29</v>
      </c>
      <c r="C15" s="2">
        <v>45839</v>
      </c>
      <c r="I15">
        <v>0</v>
      </c>
      <c r="J15" t="s">
        <v>30</v>
      </c>
      <c r="L15">
        <v>13</v>
      </c>
      <c r="M15" t="s">
        <v>29</v>
      </c>
      <c r="N15" s="2">
        <v>45840</v>
      </c>
      <c r="T15">
        <v>0</v>
      </c>
      <c r="U15" t="s">
        <v>30</v>
      </c>
    </row>
    <row r="16" spans="1:21">
      <c r="A16">
        <v>14</v>
      </c>
      <c r="B16" t="s">
        <v>31</v>
      </c>
      <c r="C16" s="2">
        <v>45839</v>
      </c>
      <c r="D16">
        <v>35</v>
      </c>
      <c r="E16">
        <v>36</v>
      </c>
      <c r="F16">
        <v>1</v>
      </c>
      <c r="G16">
        <v>7</v>
      </c>
      <c r="H16">
        <v>8</v>
      </c>
      <c r="I16">
        <f>D16+E16+H16</f>
        <v>79</v>
      </c>
      <c r="J16" t="s">
        <v>12</v>
      </c>
      <c r="L16">
        <v>14</v>
      </c>
      <c r="M16" t="s">
        <v>31</v>
      </c>
      <c r="N16" s="2">
        <v>45840</v>
      </c>
      <c r="O16">
        <v>37</v>
      </c>
      <c r="P16">
        <v>37</v>
      </c>
      <c r="Q16">
        <v>1</v>
      </c>
      <c r="R16">
        <v>7</v>
      </c>
      <c r="S16">
        <v>8</v>
      </c>
      <c r="T16">
        <f>O16+P16+S16</f>
        <v>82</v>
      </c>
      <c r="U16" t="s">
        <v>12</v>
      </c>
    </row>
    <row r="17" spans="1:21">
      <c r="A17">
        <v>15</v>
      </c>
      <c r="B17" t="s">
        <v>32</v>
      </c>
      <c r="C17" s="2">
        <v>45839</v>
      </c>
      <c r="I17">
        <v>0</v>
      </c>
      <c r="J17" t="s">
        <v>33</v>
      </c>
      <c r="L17">
        <v>15</v>
      </c>
      <c r="M17" t="s">
        <v>32</v>
      </c>
      <c r="N17" s="2">
        <v>45840</v>
      </c>
      <c r="T17">
        <v>0</v>
      </c>
      <c r="U17" t="s">
        <v>33</v>
      </c>
    </row>
    <row r="18" spans="1:21">
      <c r="A18">
        <v>16</v>
      </c>
      <c r="B18" t="s">
        <v>34</v>
      </c>
      <c r="C18" s="2">
        <v>45839</v>
      </c>
      <c r="I18">
        <v>0</v>
      </c>
      <c r="J18" t="s">
        <v>21</v>
      </c>
      <c r="L18">
        <v>16</v>
      </c>
      <c r="M18" t="s">
        <v>34</v>
      </c>
      <c r="N18" s="2">
        <v>45840</v>
      </c>
      <c r="T18">
        <v>0</v>
      </c>
      <c r="U18" t="s">
        <v>21</v>
      </c>
    </row>
    <row r="19" spans="1:21">
      <c r="A19">
        <v>17</v>
      </c>
      <c r="B19" t="s">
        <v>35</v>
      </c>
      <c r="C19" s="2">
        <v>45839</v>
      </c>
      <c r="I19">
        <v>0</v>
      </c>
      <c r="J19" t="s">
        <v>33</v>
      </c>
      <c r="L19">
        <v>17</v>
      </c>
      <c r="M19" t="s">
        <v>35</v>
      </c>
      <c r="N19" s="2">
        <v>45840</v>
      </c>
      <c r="T19">
        <v>0</v>
      </c>
      <c r="U19" t="s">
        <v>33</v>
      </c>
    </row>
    <row r="20" spans="1:21">
      <c r="A20">
        <v>18</v>
      </c>
      <c r="B20" t="s">
        <v>36</v>
      </c>
      <c r="C20" s="2">
        <v>45839</v>
      </c>
      <c r="D20">
        <v>256</v>
      </c>
      <c r="E20">
        <v>252</v>
      </c>
      <c r="H20">
        <v>0</v>
      </c>
      <c r="I20">
        <f>D20+E20+H20</f>
        <v>508</v>
      </c>
      <c r="J20" t="s">
        <v>33</v>
      </c>
      <c r="L20">
        <v>18</v>
      </c>
      <c r="M20" t="s">
        <v>36</v>
      </c>
      <c r="N20" s="2">
        <v>45840</v>
      </c>
      <c r="O20">
        <v>257</v>
      </c>
      <c r="P20">
        <v>272</v>
      </c>
      <c r="S20">
        <v>0</v>
      </c>
      <c r="T20">
        <f>O20+P20+S20</f>
        <v>529</v>
      </c>
      <c r="U20" t="s">
        <v>33</v>
      </c>
    </row>
    <row r="21" spans="1:21">
      <c r="A21">
        <v>19</v>
      </c>
      <c r="B21" t="s">
        <v>37</v>
      </c>
      <c r="C21" s="2">
        <v>45839</v>
      </c>
      <c r="L21">
        <v>19</v>
      </c>
      <c r="M21" t="s">
        <v>37</v>
      </c>
      <c r="N21" s="2">
        <v>45840</v>
      </c>
      <c r="T21">
        <v>0</v>
      </c>
    </row>
    <row r="22" spans="1:21">
      <c r="A22">
        <v>20</v>
      </c>
      <c r="B22" t="s">
        <v>38</v>
      </c>
      <c r="C22" s="2">
        <v>45839</v>
      </c>
      <c r="I22">
        <v>0</v>
      </c>
      <c r="J22" t="s">
        <v>19</v>
      </c>
      <c r="L22">
        <v>20</v>
      </c>
      <c r="M22" t="s">
        <v>38</v>
      </c>
      <c r="N22" s="2">
        <v>45840</v>
      </c>
      <c r="T22">
        <v>0</v>
      </c>
      <c r="U22" t="s">
        <v>19</v>
      </c>
    </row>
    <row r="23" spans="1:21">
      <c r="B23" t="s">
        <v>9</v>
      </c>
      <c r="D23">
        <v>0</v>
      </c>
      <c r="E23">
        <v>0</v>
      </c>
      <c r="I23">
        <v>0</v>
      </c>
      <c r="M23" t="s">
        <v>9</v>
      </c>
      <c r="O23">
        <v>0</v>
      </c>
      <c r="P23">
        <v>0</v>
      </c>
      <c r="T23">
        <v>0</v>
      </c>
    </row>
    <row r="26" spans="1:21">
      <c r="B26" t="s">
        <v>0</v>
      </c>
      <c r="C26" t="s">
        <v>41</v>
      </c>
      <c r="M26" t="s">
        <v>0</v>
      </c>
      <c r="N26" t="s">
        <v>42</v>
      </c>
    </row>
    <row r="27" spans="1:21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L27" t="s">
        <v>1</v>
      </c>
      <c r="M27" t="s">
        <v>2</v>
      </c>
      <c r="N27" t="s">
        <v>3</v>
      </c>
      <c r="O27" t="s">
        <v>4</v>
      </c>
      <c r="P27" t="s">
        <v>5</v>
      </c>
      <c r="Q27" t="s">
        <v>6</v>
      </c>
      <c r="R27" t="s">
        <v>7</v>
      </c>
      <c r="S27" t="s">
        <v>8</v>
      </c>
      <c r="T27" t="s">
        <v>9</v>
      </c>
      <c r="U27" t="s">
        <v>10</v>
      </c>
    </row>
    <row r="28" spans="1:21">
      <c r="A28">
        <v>1</v>
      </c>
      <c r="B28" t="s">
        <v>11</v>
      </c>
      <c r="C28" s="2">
        <v>45841</v>
      </c>
      <c r="D28">
        <v>22</v>
      </c>
      <c r="E28">
        <v>17</v>
      </c>
      <c r="F28">
        <v>1</v>
      </c>
      <c r="G28">
        <v>9</v>
      </c>
      <c r="H28">
        <v>10</v>
      </c>
      <c r="I28">
        <f t="shared" ref="I28:I36" si="1">D28+E28+H28</f>
        <v>49</v>
      </c>
      <c r="J28" t="s">
        <v>12</v>
      </c>
      <c r="L28">
        <v>1</v>
      </c>
      <c r="M28" t="s">
        <v>11</v>
      </c>
      <c r="N28" s="2">
        <v>45842</v>
      </c>
      <c r="O28">
        <v>29</v>
      </c>
      <c r="P28">
        <v>19</v>
      </c>
      <c r="Q28">
        <v>8</v>
      </c>
      <c r="R28">
        <v>3</v>
      </c>
      <c r="S28">
        <v>11</v>
      </c>
      <c r="T28">
        <f>O28+P28+S28</f>
        <v>59</v>
      </c>
      <c r="U28" t="s">
        <v>12</v>
      </c>
    </row>
    <row r="29" spans="1:21">
      <c r="A29">
        <v>2</v>
      </c>
      <c r="B29" t="s">
        <v>13</v>
      </c>
      <c r="C29" s="2">
        <v>45841</v>
      </c>
      <c r="D29">
        <v>17</v>
      </c>
      <c r="E29">
        <v>12</v>
      </c>
      <c r="F29">
        <v>4</v>
      </c>
      <c r="G29">
        <v>5</v>
      </c>
      <c r="H29">
        <v>9</v>
      </c>
      <c r="I29">
        <f t="shared" si="1"/>
        <v>38</v>
      </c>
      <c r="J29" t="s">
        <v>14</v>
      </c>
      <c r="L29">
        <v>2</v>
      </c>
      <c r="M29" t="s">
        <v>13</v>
      </c>
      <c r="N29" s="2">
        <v>45842</v>
      </c>
      <c r="O29">
        <v>13</v>
      </c>
      <c r="P29">
        <v>12</v>
      </c>
      <c r="Q29">
        <v>11</v>
      </c>
      <c r="R29">
        <v>5</v>
      </c>
      <c r="S29">
        <v>16</v>
      </c>
      <c r="T29">
        <f>O29+P29+S29</f>
        <v>41</v>
      </c>
      <c r="U29" t="s">
        <v>14</v>
      </c>
    </row>
    <row r="30" spans="1:21">
      <c r="A30">
        <v>3</v>
      </c>
      <c r="B30" t="s">
        <v>15</v>
      </c>
      <c r="C30" s="2">
        <v>45841</v>
      </c>
      <c r="D30">
        <v>40</v>
      </c>
      <c r="E30">
        <v>33</v>
      </c>
      <c r="H30">
        <v>0</v>
      </c>
      <c r="I30">
        <f t="shared" si="1"/>
        <v>73</v>
      </c>
      <c r="J30" t="s">
        <v>16</v>
      </c>
      <c r="L30">
        <v>3</v>
      </c>
      <c r="M30" t="s">
        <v>15</v>
      </c>
      <c r="N30" s="2">
        <v>45842</v>
      </c>
      <c r="O30">
        <v>38</v>
      </c>
      <c r="P30">
        <v>33</v>
      </c>
      <c r="S30">
        <v>0</v>
      </c>
      <c r="T30">
        <f>O30+P30+S30</f>
        <v>71</v>
      </c>
      <c r="U30" t="s">
        <v>16</v>
      </c>
    </row>
    <row r="31" spans="1:21">
      <c r="A31">
        <v>4</v>
      </c>
      <c r="B31" t="s">
        <v>17</v>
      </c>
      <c r="C31" s="2">
        <v>45841</v>
      </c>
      <c r="D31">
        <v>19</v>
      </c>
      <c r="E31">
        <v>6</v>
      </c>
      <c r="H31">
        <v>0</v>
      </c>
      <c r="I31">
        <f t="shared" si="1"/>
        <v>25</v>
      </c>
      <c r="J31" t="s">
        <v>14</v>
      </c>
      <c r="L31">
        <v>4</v>
      </c>
      <c r="M31" t="s">
        <v>17</v>
      </c>
      <c r="N31" s="2">
        <v>45842</v>
      </c>
      <c r="O31">
        <v>21</v>
      </c>
      <c r="P31">
        <v>4</v>
      </c>
      <c r="Q31">
        <v>0</v>
      </c>
      <c r="R31">
        <v>0</v>
      </c>
      <c r="S31">
        <v>0</v>
      </c>
      <c r="T31">
        <f>O31+P31+S31</f>
        <v>25</v>
      </c>
      <c r="U31" t="s">
        <v>14</v>
      </c>
    </row>
    <row r="32" spans="1:21">
      <c r="A32">
        <v>5</v>
      </c>
      <c r="B32" t="s">
        <v>18</v>
      </c>
      <c r="C32" s="2">
        <v>45841</v>
      </c>
      <c r="D32">
        <v>290</v>
      </c>
      <c r="E32">
        <v>470</v>
      </c>
      <c r="H32">
        <v>160</v>
      </c>
      <c r="I32">
        <f t="shared" si="1"/>
        <v>920</v>
      </c>
      <c r="J32" t="s">
        <v>19</v>
      </c>
      <c r="L32">
        <v>5</v>
      </c>
      <c r="M32" t="s">
        <v>18</v>
      </c>
      <c r="N32" s="2">
        <v>45842</v>
      </c>
      <c r="T32">
        <v>0</v>
      </c>
      <c r="U32" t="s">
        <v>19</v>
      </c>
    </row>
    <row r="33" spans="1:21">
      <c r="A33">
        <v>6</v>
      </c>
      <c r="B33" t="s">
        <v>20</v>
      </c>
      <c r="C33" s="2">
        <v>45841</v>
      </c>
      <c r="D33">
        <v>88</v>
      </c>
      <c r="E33">
        <v>52</v>
      </c>
      <c r="H33">
        <v>0</v>
      </c>
      <c r="I33">
        <f t="shared" si="1"/>
        <v>140</v>
      </c>
      <c r="J33" t="s">
        <v>21</v>
      </c>
      <c r="L33">
        <v>6</v>
      </c>
      <c r="M33" t="s">
        <v>20</v>
      </c>
      <c r="N33" s="2">
        <v>45842</v>
      </c>
      <c r="O33">
        <v>94</v>
      </c>
      <c r="P33">
        <v>52</v>
      </c>
      <c r="S33">
        <v>0</v>
      </c>
      <c r="T33">
        <f>O33+P33+S33</f>
        <v>146</v>
      </c>
      <c r="U33" t="s">
        <v>21</v>
      </c>
    </row>
    <row r="34" spans="1:21">
      <c r="A34">
        <v>7</v>
      </c>
      <c r="B34" t="s">
        <v>22</v>
      </c>
      <c r="C34" s="2">
        <v>45841</v>
      </c>
      <c r="D34">
        <v>74</v>
      </c>
      <c r="E34">
        <v>46</v>
      </c>
      <c r="H34">
        <v>0</v>
      </c>
      <c r="I34">
        <f t="shared" si="1"/>
        <v>120</v>
      </c>
      <c r="J34" t="s">
        <v>14</v>
      </c>
      <c r="L34">
        <v>7</v>
      </c>
      <c r="M34" t="s">
        <v>22</v>
      </c>
      <c r="N34" s="2">
        <v>45842</v>
      </c>
      <c r="O34">
        <v>75</v>
      </c>
      <c r="P34">
        <v>40</v>
      </c>
      <c r="S34">
        <v>0</v>
      </c>
      <c r="T34">
        <f>O34+P34+S34</f>
        <v>115</v>
      </c>
      <c r="U34" t="s">
        <v>14</v>
      </c>
    </row>
    <row r="35" spans="1:21">
      <c r="A35">
        <v>8</v>
      </c>
      <c r="B35" t="s">
        <v>23</v>
      </c>
      <c r="C35" s="2">
        <v>45841</v>
      </c>
      <c r="D35">
        <v>26</v>
      </c>
      <c r="E35">
        <v>13</v>
      </c>
      <c r="H35">
        <v>0</v>
      </c>
      <c r="I35">
        <f t="shared" si="1"/>
        <v>39</v>
      </c>
      <c r="J35" t="s">
        <v>12</v>
      </c>
      <c r="L35">
        <v>8</v>
      </c>
      <c r="M35" t="s">
        <v>23</v>
      </c>
      <c r="N35" s="2">
        <v>45842</v>
      </c>
      <c r="O35">
        <v>33</v>
      </c>
      <c r="P35">
        <v>20</v>
      </c>
      <c r="Q35">
        <v>4</v>
      </c>
      <c r="R35">
        <v>5</v>
      </c>
      <c r="S35">
        <v>9</v>
      </c>
      <c r="T35">
        <f>O35+P35+S35</f>
        <v>62</v>
      </c>
      <c r="U35" t="s">
        <v>12</v>
      </c>
    </row>
    <row r="36" spans="1:21">
      <c r="A36">
        <v>9</v>
      </c>
      <c r="B36" t="s">
        <v>24</v>
      </c>
      <c r="C36" s="2">
        <v>45841</v>
      </c>
      <c r="D36">
        <v>55</v>
      </c>
      <c r="E36">
        <v>15</v>
      </c>
      <c r="H36">
        <v>8</v>
      </c>
      <c r="I36">
        <f t="shared" si="1"/>
        <v>78</v>
      </c>
      <c r="J36" t="s">
        <v>25</v>
      </c>
      <c r="L36">
        <v>9</v>
      </c>
      <c r="M36" t="s">
        <v>24</v>
      </c>
      <c r="N36" s="2">
        <v>45842</v>
      </c>
      <c r="O36">
        <v>54</v>
      </c>
      <c r="P36">
        <v>18</v>
      </c>
      <c r="S36">
        <v>11</v>
      </c>
      <c r="T36">
        <f>O36+P36+S36</f>
        <v>83</v>
      </c>
      <c r="U36" t="s">
        <v>25</v>
      </c>
    </row>
    <row r="37" spans="1:21">
      <c r="A37">
        <v>10</v>
      </c>
      <c r="B37" t="s">
        <v>26</v>
      </c>
      <c r="C37" s="2">
        <v>45841</v>
      </c>
      <c r="D37">
        <v>112</v>
      </c>
      <c r="E37">
        <v>81</v>
      </c>
      <c r="H37">
        <v>0</v>
      </c>
      <c r="I37">
        <v>0</v>
      </c>
      <c r="J37" t="s">
        <v>16</v>
      </c>
      <c r="L37">
        <v>10</v>
      </c>
      <c r="M37" t="s">
        <v>26</v>
      </c>
      <c r="N37" s="2">
        <v>45842</v>
      </c>
      <c r="T37">
        <v>0</v>
      </c>
      <c r="U37" t="s">
        <v>16</v>
      </c>
    </row>
    <row r="38" spans="1:21">
      <c r="A38">
        <v>11</v>
      </c>
      <c r="B38" t="s">
        <v>27</v>
      </c>
      <c r="C38" s="2">
        <v>45841</v>
      </c>
      <c r="D38">
        <v>8</v>
      </c>
      <c r="E38">
        <v>5</v>
      </c>
      <c r="H38">
        <v>0</v>
      </c>
      <c r="I38">
        <f>D38+E38+H38</f>
        <v>13</v>
      </c>
      <c r="J38" t="s">
        <v>19</v>
      </c>
      <c r="L38">
        <v>11</v>
      </c>
      <c r="M38" t="s">
        <v>27</v>
      </c>
      <c r="N38" s="2">
        <v>45842</v>
      </c>
      <c r="O38">
        <v>6</v>
      </c>
      <c r="P38">
        <v>4</v>
      </c>
      <c r="Q38">
        <v>0</v>
      </c>
      <c r="R38">
        <v>0</v>
      </c>
      <c r="S38">
        <v>0</v>
      </c>
      <c r="T38">
        <f>O38+P38+S38</f>
        <v>10</v>
      </c>
      <c r="U38" t="s">
        <v>19</v>
      </c>
    </row>
    <row r="39" spans="1:21">
      <c r="A39">
        <v>12</v>
      </c>
      <c r="B39" t="s">
        <v>28</v>
      </c>
      <c r="C39" s="2">
        <v>45841</v>
      </c>
      <c r="D39">
        <v>99</v>
      </c>
      <c r="E39">
        <v>133</v>
      </c>
      <c r="F39">
        <v>21</v>
      </c>
      <c r="G39">
        <v>12</v>
      </c>
      <c r="H39">
        <v>33</v>
      </c>
      <c r="I39">
        <f>D39+E39+H39</f>
        <v>265</v>
      </c>
      <c r="J39" t="s">
        <v>25</v>
      </c>
      <c r="L39">
        <v>12</v>
      </c>
      <c r="M39" t="s">
        <v>28</v>
      </c>
      <c r="N39" s="2">
        <v>45842</v>
      </c>
      <c r="O39">
        <v>114</v>
      </c>
      <c r="P39">
        <v>140</v>
      </c>
      <c r="Q39">
        <v>25</v>
      </c>
      <c r="R39">
        <v>19</v>
      </c>
      <c r="S39">
        <f>Q39+R39</f>
        <v>44</v>
      </c>
      <c r="T39">
        <f>O39+P39+S39</f>
        <v>298</v>
      </c>
      <c r="U39" t="s">
        <v>25</v>
      </c>
    </row>
    <row r="40" spans="1:21">
      <c r="A40">
        <v>13</v>
      </c>
      <c r="B40" t="s">
        <v>29</v>
      </c>
      <c r="C40" s="2">
        <v>45841</v>
      </c>
      <c r="I40">
        <v>0</v>
      </c>
      <c r="J40" t="s">
        <v>30</v>
      </c>
      <c r="L40">
        <v>13</v>
      </c>
      <c r="M40" t="s">
        <v>29</v>
      </c>
      <c r="N40" s="2">
        <v>45842</v>
      </c>
      <c r="T40">
        <v>0</v>
      </c>
      <c r="U40" t="s">
        <v>30</v>
      </c>
    </row>
    <row r="41" spans="1:21">
      <c r="A41">
        <v>14</v>
      </c>
      <c r="B41" t="s">
        <v>31</v>
      </c>
      <c r="C41" s="2">
        <v>45841</v>
      </c>
      <c r="I41">
        <v>0</v>
      </c>
      <c r="J41" t="s">
        <v>12</v>
      </c>
      <c r="L41">
        <v>14</v>
      </c>
      <c r="M41" t="s">
        <v>31</v>
      </c>
      <c r="N41" s="2">
        <v>45842</v>
      </c>
      <c r="O41">
        <v>18</v>
      </c>
      <c r="P41">
        <v>39</v>
      </c>
      <c r="Q41">
        <v>5</v>
      </c>
      <c r="R41">
        <v>4</v>
      </c>
      <c r="S41">
        <v>9</v>
      </c>
      <c r="T41">
        <f>O41+P41+S41</f>
        <v>66</v>
      </c>
      <c r="U41" t="s">
        <v>12</v>
      </c>
    </row>
    <row r="42" spans="1:21">
      <c r="A42">
        <v>15</v>
      </c>
      <c r="B42" t="s">
        <v>32</v>
      </c>
      <c r="C42" s="2">
        <v>45841</v>
      </c>
      <c r="I42">
        <v>0</v>
      </c>
      <c r="J42" t="s">
        <v>33</v>
      </c>
      <c r="L42">
        <v>15</v>
      </c>
      <c r="M42" t="s">
        <v>32</v>
      </c>
      <c r="N42" s="2">
        <v>45842</v>
      </c>
      <c r="T42">
        <v>0</v>
      </c>
      <c r="U42" t="s">
        <v>33</v>
      </c>
    </row>
    <row r="43" spans="1:21">
      <c r="A43">
        <v>16</v>
      </c>
      <c r="B43" t="s">
        <v>34</v>
      </c>
      <c r="C43" s="2">
        <v>45841</v>
      </c>
      <c r="I43">
        <v>0</v>
      </c>
      <c r="J43" t="s">
        <v>21</v>
      </c>
      <c r="L43">
        <v>16</v>
      </c>
      <c r="M43" t="s">
        <v>34</v>
      </c>
      <c r="N43" s="2">
        <v>45842</v>
      </c>
      <c r="O43">
        <v>18</v>
      </c>
      <c r="P43">
        <v>13</v>
      </c>
      <c r="Q43">
        <v>1</v>
      </c>
      <c r="R43">
        <v>2</v>
      </c>
      <c r="S43">
        <v>3</v>
      </c>
      <c r="T43">
        <f>O43+P43+S43</f>
        <v>34</v>
      </c>
      <c r="U43" t="s">
        <v>21</v>
      </c>
    </row>
    <row r="44" spans="1:21">
      <c r="A44">
        <v>17</v>
      </c>
      <c r="B44" t="s">
        <v>35</v>
      </c>
      <c r="C44" s="2">
        <v>45841</v>
      </c>
      <c r="I44">
        <v>0</v>
      </c>
      <c r="J44" t="s">
        <v>33</v>
      </c>
      <c r="L44">
        <v>17</v>
      </c>
      <c r="M44" t="s">
        <v>35</v>
      </c>
      <c r="N44" s="2">
        <v>45842</v>
      </c>
      <c r="T44">
        <v>0</v>
      </c>
      <c r="U44" t="s">
        <v>33</v>
      </c>
    </row>
    <row r="45" spans="1:21">
      <c r="A45">
        <v>18</v>
      </c>
      <c r="B45" t="s">
        <v>36</v>
      </c>
      <c r="C45" s="2">
        <v>45841</v>
      </c>
      <c r="D45">
        <v>309</v>
      </c>
      <c r="E45">
        <v>315</v>
      </c>
      <c r="H45">
        <v>0</v>
      </c>
      <c r="I45">
        <f>D45+E45+H45</f>
        <v>624</v>
      </c>
      <c r="J45" t="s">
        <v>33</v>
      </c>
      <c r="L45">
        <v>18</v>
      </c>
      <c r="M45" t="s">
        <v>36</v>
      </c>
      <c r="N45" s="2">
        <v>45842</v>
      </c>
      <c r="T45">
        <v>0</v>
      </c>
      <c r="U45" t="s">
        <v>33</v>
      </c>
    </row>
    <row r="46" spans="1:21">
      <c r="A46">
        <v>19</v>
      </c>
      <c r="B46" t="s">
        <v>37</v>
      </c>
      <c r="C46" s="2">
        <v>45841</v>
      </c>
      <c r="I46">
        <v>0</v>
      </c>
      <c r="L46">
        <v>19</v>
      </c>
      <c r="M46" t="s">
        <v>37</v>
      </c>
      <c r="N46" s="2">
        <v>45842</v>
      </c>
      <c r="T46">
        <v>0</v>
      </c>
    </row>
    <row r="47" spans="1:21">
      <c r="A47">
        <v>20</v>
      </c>
      <c r="B47" t="s">
        <v>38</v>
      </c>
      <c r="C47" s="2">
        <v>45841</v>
      </c>
      <c r="I47">
        <v>0</v>
      </c>
      <c r="J47" t="s">
        <v>19</v>
      </c>
      <c r="L47">
        <v>20</v>
      </c>
      <c r="M47" t="s">
        <v>38</v>
      </c>
      <c r="N47" s="2">
        <v>45842</v>
      </c>
      <c r="T47">
        <v>0</v>
      </c>
      <c r="U47" t="s">
        <v>19</v>
      </c>
    </row>
    <row r="48" spans="1:21">
      <c r="B48" t="s">
        <v>9</v>
      </c>
      <c r="D48">
        <v>0</v>
      </c>
      <c r="E48">
        <v>0</v>
      </c>
      <c r="I48">
        <v>0</v>
      </c>
      <c r="M48" t="s">
        <v>9</v>
      </c>
      <c r="O48">
        <v>0</v>
      </c>
      <c r="P48">
        <v>0</v>
      </c>
      <c r="T48">
        <v>0</v>
      </c>
    </row>
    <row r="50" spans="1:21">
      <c r="B50" t="s">
        <v>9</v>
      </c>
      <c r="D50">
        <v>0</v>
      </c>
      <c r="E50">
        <v>0</v>
      </c>
      <c r="I50">
        <v>0</v>
      </c>
      <c r="M50" t="s">
        <v>9</v>
      </c>
      <c r="O50">
        <v>0</v>
      </c>
      <c r="P50">
        <v>0</v>
      </c>
      <c r="T50">
        <v>0</v>
      </c>
    </row>
    <row r="53" spans="1:21">
      <c r="B53" t="s">
        <v>0</v>
      </c>
      <c r="C53" t="s">
        <v>43</v>
      </c>
      <c r="M53" t="s">
        <v>0</v>
      </c>
      <c r="N53" t="s">
        <v>44</v>
      </c>
    </row>
    <row r="54" spans="1:21">
      <c r="A54" t="s">
        <v>1</v>
      </c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L54" t="s">
        <v>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</row>
    <row r="55" spans="1:21">
      <c r="A55">
        <v>1</v>
      </c>
      <c r="B55" t="s">
        <v>11</v>
      </c>
      <c r="C55" s="2">
        <v>45843</v>
      </c>
      <c r="D55">
        <v>18</v>
      </c>
      <c r="E55">
        <v>15</v>
      </c>
      <c r="F55">
        <v>0</v>
      </c>
      <c r="G55">
        <v>1</v>
      </c>
      <c r="H55">
        <v>1</v>
      </c>
      <c r="I55">
        <f>D55+E55+H55</f>
        <v>34</v>
      </c>
      <c r="J55" t="s">
        <v>12</v>
      </c>
      <c r="L55">
        <v>1</v>
      </c>
      <c r="M55" t="s">
        <v>11</v>
      </c>
      <c r="N55" s="1">
        <v>45844</v>
      </c>
      <c r="O55">
        <v>18</v>
      </c>
      <c r="P55">
        <v>16</v>
      </c>
      <c r="Q55">
        <v>4</v>
      </c>
      <c r="R55">
        <v>6</v>
      </c>
      <c r="S55">
        <v>10</v>
      </c>
      <c r="T55">
        <f>O55+P55+S55</f>
        <v>44</v>
      </c>
      <c r="U55" t="s">
        <v>12</v>
      </c>
    </row>
    <row r="56" spans="1:21">
      <c r="A56">
        <v>2</v>
      </c>
      <c r="B56" t="s">
        <v>13</v>
      </c>
      <c r="C56" s="2">
        <v>45843</v>
      </c>
      <c r="D56">
        <v>13</v>
      </c>
      <c r="E56">
        <v>5</v>
      </c>
      <c r="F56">
        <v>0</v>
      </c>
      <c r="G56">
        <v>0</v>
      </c>
      <c r="H56">
        <v>0</v>
      </c>
      <c r="I56">
        <f>D56+E56+H56</f>
        <v>18</v>
      </c>
      <c r="J56" t="s">
        <v>14</v>
      </c>
      <c r="L56">
        <v>2</v>
      </c>
      <c r="M56" t="s">
        <v>13</v>
      </c>
      <c r="N56" s="1">
        <v>45844</v>
      </c>
      <c r="O56">
        <v>13</v>
      </c>
      <c r="P56">
        <v>4</v>
      </c>
      <c r="Q56">
        <v>0</v>
      </c>
      <c r="R56">
        <v>0</v>
      </c>
      <c r="S56">
        <v>0</v>
      </c>
      <c r="T56">
        <f>O56+P56+S56</f>
        <v>17</v>
      </c>
      <c r="U56" t="s">
        <v>14</v>
      </c>
    </row>
    <row r="57" spans="1:21">
      <c r="A57">
        <v>3</v>
      </c>
      <c r="B57" t="s">
        <v>15</v>
      </c>
      <c r="C57" s="2">
        <v>45843</v>
      </c>
      <c r="D57">
        <v>41</v>
      </c>
      <c r="E57">
        <v>38</v>
      </c>
      <c r="H57">
        <v>0</v>
      </c>
      <c r="I57">
        <f>SUM(D57,E57,H57)</f>
        <v>79</v>
      </c>
      <c r="J57" t="s">
        <v>16</v>
      </c>
      <c r="L57">
        <v>3</v>
      </c>
      <c r="M57" t="s">
        <v>15</v>
      </c>
      <c r="N57" s="1">
        <v>45844</v>
      </c>
      <c r="O57">
        <v>42</v>
      </c>
      <c r="P57">
        <v>34</v>
      </c>
      <c r="S57">
        <v>0</v>
      </c>
      <c r="T57">
        <f>SUM(O57,P57,S57)</f>
        <v>76</v>
      </c>
      <c r="U57" t="s">
        <v>16</v>
      </c>
    </row>
    <row r="58" spans="1:21">
      <c r="A58">
        <v>4</v>
      </c>
      <c r="B58" t="s">
        <v>17</v>
      </c>
      <c r="C58" s="2">
        <v>45843</v>
      </c>
      <c r="D58">
        <v>20</v>
      </c>
      <c r="E58">
        <v>9</v>
      </c>
      <c r="H58">
        <v>2</v>
      </c>
      <c r="I58">
        <f t="shared" ref="I58:I72" si="2">D58+E58+H58</f>
        <v>31</v>
      </c>
      <c r="J58" t="s">
        <v>14</v>
      </c>
      <c r="L58">
        <v>4</v>
      </c>
      <c r="M58" t="s">
        <v>17</v>
      </c>
      <c r="N58" s="1">
        <v>45844</v>
      </c>
      <c r="O58">
        <v>14</v>
      </c>
      <c r="P58">
        <v>4</v>
      </c>
      <c r="Q58">
        <v>0</v>
      </c>
      <c r="R58">
        <v>0</v>
      </c>
      <c r="S58">
        <v>0</v>
      </c>
      <c r="T58">
        <f t="shared" ref="T58:T72" si="3">O58+P58+S58</f>
        <v>18</v>
      </c>
      <c r="U58" t="s">
        <v>14</v>
      </c>
    </row>
    <row r="59" spans="1:21">
      <c r="A59">
        <v>5</v>
      </c>
      <c r="B59" t="s">
        <v>18</v>
      </c>
      <c r="C59" s="2">
        <v>45843</v>
      </c>
      <c r="D59">
        <v>398</v>
      </c>
      <c r="E59">
        <v>576</v>
      </c>
      <c r="H59">
        <v>214</v>
      </c>
      <c r="I59">
        <f t="shared" si="2"/>
        <v>1188</v>
      </c>
      <c r="J59" t="s">
        <v>19</v>
      </c>
      <c r="L59">
        <v>5</v>
      </c>
      <c r="M59" t="s">
        <v>18</v>
      </c>
      <c r="N59" s="1">
        <v>45844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3"/>
        <v>0</v>
      </c>
      <c r="U59" t="s">
        <v>19</v>
      </c>
    </row>
    <row r="60" spans="1:21">
      <c r="A60">
        <v>6</v>
      </c>
      <c r="B60" t="s">
        <v>20</v>
      </c>
      <c r="C60" s="2">
        <v>45843</v>
      </c>
      <c r="D60">
        <v>66</v>
      </c>
      <c r="E60">
        <v>79</v>
      </c>
      <c r="H60">
        <v>0</v>
      </c>
      <c r="I60">
        <f t="shared" si="2"/>
        <v>145</v>
      </c>
      <c r="J60" t="s">
        <v>21</v>
      </c>
      <c r="L60">
        <v>6</v>
      </c>
      <c r="M60" t="s">
        <v>20</v>
      </c>
      <c r="N60" s="1">
        <v>45844</v>
      </c>
      <c r="O60">
        <v>69</v>
      </c>
      <c r="P60">
        <v>66</v>
      </c>
      <c r="S60">
        <v>0</v>
      </c>
      <c r="T60">
        <f t="shared" si="3"/>
        <v>135</v>
      </c>
      <c r="U60" t="s">
        <v>21</v>
      </c>
    </row>
    <row r="61" spans="1:21">
      <c r="A61">
        <v>7</v>
      </c>
      <c r="B61" t="s">
        <v>22</v>
      </c>
      <c r="C61" s="2">
        <v>45843</v>
      </c>
      <c r="D61">
        <v>54</v>
      </c>
      <c r="E61">
        <v>48</v>
      </c>
      <c r="H61">
        <v>0</v>
      </c>
      <c r="I61">
        <f t="shared" si="2"/>
        <v>102</v>
      </c>
      <c r="J61" t="s">
        <v>14</v>
      </c>
      <c r="L61">
        <v>7</v>
      </c>
      <c r="M61" t="s">
        <v>22</v>
      </c>
      <c r="N61" s="1">
        <v>45844</v>
      </c>
      <c r="T61">
        <f t="shared" si="3"/>
        <v>0</v>
      </c>
      <c r="U61" t="s">
        <v>14</v>
      </c>
    </row>
    <row r="62" spans="1:21">
      <c r="A62">
        <v>8</v>
      </c>
      <c r="B62" t="s">
        <v>23</v>
      </c>
      <c r="C62" s="2">
        <v>45843</v>
      </c>
      <c r="I62">
        <f t="shared" si="2"/>
        <v>0</v>
      </c>
      <c r="J62" t="s">
        <v>12</v>
      </c>
      <c r="L62">
        <v>8</v>
      </c>
      <c r="M62" t="s">
        <v>23</v>
      </c>
      <c r="N62" s="1">
        <v>45844</v>
      </c>
      <c r="O62">
        <v>97</v>
      </c>
      <c r="P62">
        <v>131</v>
      </c>
      <c r="Q62">
        <v>7</v>
      </c>
      <c r="R62">
        <v>11</v>
      </c>
      <c r="S62">
        <v>18</v>
      </c>
      <c r="T62">
        <f t="shared" si="3"/>
        <v>246</v>
      </c>
      <c r="U62" t="s">
        <v>12</v>
      </c>
    </row>
    <row r="63" spans="1:21">
      <c r="A63">
        <v>9</v>
      </c>
      <c r="B63" t="s">
        <v>24</v>
      </c>
      <c r="C63" s="2">
        <v>45843</v>
      </c>
      <c r="D63">
        <v>38</v>
      </c>
      <c r="E63">
        <v>11</v>
      </c>
      <c r="H63">
        <v>8</v>
      </c>
      <c r="I63">
        <f t="shared" si="2"/>
        <v>57</v>
      </c>
      <c r="J63" t="s">
        <v>25</v>
      </c>
      <c r="L63">
        <v>9</v>
      </c>
      <c r="M63" t="s">
        <v>24</v>
      </c>
      <c r="N63" s="1">
        <v>45844</v>
      </c>
      <c r="O63">
        <v>60</v>
      </c>
      <c r="P63">
        <v>25</v>
      </c>
      <c r="S63">
        <v>7</v>
      </c>
      <c r="T63">
        <f t="shared" si="3"/>
        <v>92</v>
      </c>
      <c r="U63" t="s">
        <v>25</v>
      </c>
    </row>
    <row r="64" spans="1:21">
      <c r="A64">
        <v>10</v>
      </c>
      <c r="B64" t="s">
        <v>26</v>
      </c>
      <c r="C64" s="2">
        <v>45843</v>
      </c>
      <c r="D64">
        <v>87</v>
      </c>
      <c r="E64">
        <v>69</v>
      </c>
      <c r="H64">
        <v>25</v>
      </c>
      <c r="I64">
        <f t="shared" si="2"/>
        <v>181</v>
      </c>
      <c r="J64" t="s">
        <v>16</v>
      </c>
      <c r="L64">
        <v>10</v>
      </c>
      <c r="M64" t="s">
        <v>26</v>
      </c>
      <c r="N64" s="1">
        <v>45844</v>
      </c>
      <c r="T64">
        <f t="shared" si="3"/>
        <v>0</v>
      </c>
      <c r="U64" t="s">
        <v>16</v>
      </c>
    </row>
    <row r="65" spans="1:21">
      <c r="A65">
        <v>11</v>
      </c>
      <c r="B65" t="s">
        <v>27</v>
      </c>
      <c r="C65" s="2">
        <v>45843</v>
      </c>
      <c r="D65">
        <v>8</v>
      </c>
      <c r="E65">
        <v>0</v>
      </c>
      <c r="F65">
        <v>0</v>
      </c>
      <c r="G65">
        <v>0</v>
      </c>
      <c r="H65">
        <v>0</v>
      </c>
      <c r="I65">
        <f t="shared" si="2"/>
        <v>8</v>
      </c>
      <c r="J65" t="s">
        <v>19</v>
      </c>
      <c r="L65">
        <v>11</v>
      </c>
      <c r="M65" t="s">
        <v>27</v>
      </c>
      <c r="N65" s="1">
        <v>45844</v>
      </c>
      <c r="T65">
        <f t="shared" si="3"/>
        <v>0</v>
      </c>
      <c r="U65" t="s">
        <v>19</v>
      </c>
    </row>
    <row r="66" spans="1:21">
      <c r="A66">
        <v>12</v>
      </c>
      <c r="B66" t="s">
        <v>28</v>
      </c>
      <c r="C66" s="2">
        <v>45843</v>
      </c>
      <c r="D66">
        <v>124</v>
      </c>
      <c r="E66">
        <v>155</v>
      </c>
      <c r="F66">
        <v>27</v>
      </c>
      <c r="G66">
        <v>37</v>
      </c>
      <c r="H66">
        <v>64</v>
      </c>
      <c r="I66">
        <f t="shared" si="2"/>
        <v>343</v>
      </c>
      <c r="J66" t="s">
        <v>25</v>
      </c>
      <c r="L66">
        <v>12</v>
      </c>
      <c r="M66" t="s">
        <v>28</v>
      </c>
      <c r="N66" s="1">
        <v>45844</v>
      </c>
      <c r="O66">
        <v>80</v>
      </c>
      <c r="P66">
        <v>89</v>
      </c>
      <c r="Q66">
        <v>7</v>
      </c>
      <c r="R66">
        <v>18</v>
      </c>
      <c r="S66">
        <v>25</v>
      </c>
      <c r="T66">
        <f t="shared" si="3"/>
        <v>194</v>
      </c>
      <c r="U66" t="s">
        <v>25</v>
      </c>
    </row>
    <row r="67" spans="1:21">
      <c r="A67">
        <v>13</v>
      </c>
      <c r="B67" t="s">
        <v>29</v>
      </c>
      <c r="C67" s="2">
        <v>45843</v>
      </c>
      <c r="D67">
        <v>98</v>
      </c>
      <c r="E67">
        <v>101</v>
      </c>
      <c r="F67">
        <v>2</v>
      </c>
      <c r="G67">
        <v>5</v>
      </c>
      <c r="H67">
        <v>7</v>
      </c>
      <c r="I67">
        <f t="shared" si="2"/>
        <v>206</v>
      </c>
      <c r="J67" t="s">
        <v>30</v>
      </c>
      <c r="L67">
        <v>13</v>
      </c>
      <c r="M67" t="s">
        <v>29</v>
      </c>
      <c r="N67" s="1">
        <v>45844</v>
      </c>
      <c r="T67">
        <f t="shared" si="3"/>
        <v>0</v>
      </c>
      <c r="U67" t="s">
        <v>30</v>
      </c>
    </row>
    <row r="68" spans="1:21">
      <c r="A68">
        <v>14</v>
      </c>
      <c r="B68" t="s">
        <v>31</v>
      </c>
      <c r="C68" s="2">
        <v>45843</v>
      </c>
      <c r="D68">
        <v>18</v>
      </c>
      <c r="E68">
        <v>23</v>
      </c>
      <c r="F68">
        <v>2</v>
      </c>
      <c r="G68">
        <v>1</v>
      </c>
      <c r="H68">
        <v>3</v>
      </c>
      <c r="I68">
        <f t="shared" si="2"/>
        <v>44</v>
      </c>
      <c r="J68" t="s">
        <v>12</v>
      </c>
      <c r="L68">
        <v>14</v>
      </c>
      <c r="M68" t="s">
        <v>31</v>
      </c>
      <c r="N68" s="1">
        <v>45844</v>
      </c>
      <c r="O68">
        <v>18</v>
      </c>
      <c r="P68">
        <v>23</v>
      </c>
      <c r="Q68">
        <v>2</v>
      </c>
      <c r="R68">
        <v>1</v>
      </c>
      <c r="S68">
        <v>3</v>
      </c>
      <c r="T68">
        <f t="shared" si="3"/>
        <v>44</v>
      </c>
      <c r="U68" t="s">
        <v>12</v>
      </c>
    </row>
    <row r="69" spans="1:21">
      <c r="A69">
        <v>15</v>
      </c>
      <c r="B69" t="s">
        <v>32</v>
      </c>
      <c r="C69" s="2">
        <v>45843</v>
      </c>
      <c r="I69">
        <f t="shared" si="2"/>
        <v>0</v>
      </c>
      <c r="J69" t="s">
        <v>33</v>
      </c>
      <c r="L69">
        <v>15</v>
      </c>
      <c r="M69" t="s">
        <v>32</v>
      </c>
      <c r="N69" s="1">
        <v>45844</v>
      </c>
      <c r="T69">
        <f t="shared" si="3"/>
        <v>0</v>
      </c>
      <c r="U69" t="s">
        <v>33</v>
      </c>
    </row>
    <row r="70" spans="1:21">
      <c r="A70">
        <v>16</v>
      </c>
      <c r="B70" t="s">
        <v>34</v>
      </c>
      <c r="C70" s="2">
        <v>45843</v>
      </c>
      <c r="D70">
        <v>22</v>
      </c>
      <c r="E70">
        <v>18</v>
      </c>
      <c r="F70">
        <v>0</v>
      </c>
      <c r="G70">
        <v>0</v>
      </c>
      <c r="H70">
        <v>0</v>
      </c>
      <c r="I70">
        <f t="shared" si="2"/>
        <v>40</v>
      </c>
      <c r="J70" t="s">
        <v>21</v>
      </c>
      <c r="L70">
        <v>16</v>
      </c>
      <c r="M70" t="s">
        <v>34</v>
      </c>
      <c r="N70" s="1">
        <v>45844</v>
      </c>
      <c r="O70">
        <v>27</v>
      </c>
      <c r="P70">
        <v>20</v>
      </c>
      <c r="Q70">
        <v>6</v>
      </c>
      <c r="R70">
        <v>3</v>
      </c>
      <c r="S70">
        <v>9</v>
      </c>
      <c r="T70">
        <f t="shared" si="3"/>
        <v>56</v>
      </c>
      <c r="U70" t="s">
        <v>21</v>
      </c>
    </row>
    <row r="71" spans="1:21">
      <c r="A71">
        <v>17</v>
      </c>
      <c r="B71" t="s">
        <v>35</v>
      </c>
      <c r="C71" s="2">
        <v>45843</v>
      </c>
      <c r="I71">
        <f t="shared" si="2"/>
        <v>0</v>
      </c>
      <c r="J71" t="s">
        <v>33</v>
      </c>
      <c r="L71">
        <v>17</v>
      </c>
      <c r="M71" t="s">
        <v>35</v>
      </c>
      <c r="N71" s="1">
        <v>45844</v>
      </c>
      <c r="T71">
        <f t="shared" si="3"/>
        <v>0</v>
      </c>
      <c r="U71" t="s">
        <v>33</v>
      </c>
    </row>
    <row r="72" spans="1:21">
      <c r="A72">
        <v>18</v>
      </c>
      <c r="B72" t="s">
        <v>36</v>
      </c>
      <c r="C72" s="2">
        <v>45843</v>
      </c>
      <c r="I72">
        <f t="shared" si="2"/>
        <v>0</v>
      </c>
      <c r="J72" t="s">
        <v>33</v>
      </c>
      <c r="L72">
        <v>18</v>
      </c>
      <c r="M72" t="s">
        <v>36</v>
      </c>
      <c r="N72" s="1">
        <v>45844</v>
      </c>
      <c r="O72">
        <v>135</v>
      </c>
      <c r="P72">
        <v>208</v>
      </c>
      <c r="S72">
        <v>24</v>
      </c>
      <c r="T72">
        <f t="shared" si="3"/>
        <v>367</v>
      </c>
      <c r="U72" t="s">
        <v>33</v>
      </c>
    </row>
    <row r="73" spans="1:21">
      <c r="A73">
        <v>19</v>
      </c>
      <c r="B73" t="s">
        <v>37</v>
      </c>
      <c r="C73" s="2">
        <v>45843</v>
      </c>
      <c r="I73">
        <f>D73+E73+H73</f>
        <v>0</v>
      </c>
      <c r="L73">
        <v>19</v>
      </c>
      <c r="M73" t="s">
        <v>37</v>
      </c>
      <c r="N73" s="1">
        <v>45844</v>
      </c>
      <c r="T73">
        <f>O73+P73+S73</f>
        <v>0</v>
      </c>
    </row>
    <row r="74" spans="1:21">
      <c r="A74">
        <v>20</v>
      </c>
      <c r="B74" t="s">
        <v>38</v>
      </c>
      <c r="C74" s="2">
        <v>45843</v>
      </c>
      <c r="I74">
        <f t="shared" ref="I74" si="4">D74+E74+H74</f>
        <v>0</v>
      </c>
      <c r="J74" t="s">
        <v>19</v>
      </c>
      <c r="L74">
        <v>20</v>
      </c>
      <c r="M74" t="s">
        <v>38</v>
      </c>
      <c r="N74" s="1">
        <v>45844</v>
      </c>
      <c r="T74">
        <f t="shared" ref="T74" si="5">O74+P74+S74</f>
        <v>0</v>
      </c>
      <c r="U74" t="s">
        <v>19</v>
      </c>
    </row>
    <row r="75" spans="1:21">
      <c r="B75" t="s">
        <v>9</v>
      </c>
      <c r="D75">
        <f>D55+D56+D57+D58+D59+D60+D62+D61+D63+D64+D65+D66+D67+D68+D70+D72</f>
        <v>1005</v>
      </c>
      <c r="E75">
        <f>SUM(E55:E74)</f>
        <v>1147</v>
      </c>
      <c r="I75">
        <f>I55+I56+I57+I58+I59+I60+I61+I62+I63+I64+I65+I66+I67+I68+I69+I70+I71+I72+I73+I74</f>
        <v>2476</v>
      </c>
      <c r="M75" t="s">
        <v>9</v>
      </c>
      <c r="O75">
        <f>O55+O56+O57+O58+O59+O60+O62+O61+O63+O64+O65+O66+O67+O68+O70+O72</f>
        <v>573</v>
      </c>
      <c r="P75">
        <f>SUM(P55:P74)</f>
        <v>620</v>
      </c>
      <c r="T75">
        <f>T55+T56+T57+T58+T59+T60+T61+T62+T63+T64+T65+T66+T67+T68+T69+T70+T71+T72+T73+T74</f>
        <v>1289</v>
      </c>
    </row>
    <row r="77" spans="1:21">
      <c r="B77" t="s">
        <v>0</v>
      </c>
      <c r="C77" t="s">
        <v>45</v>
      </c>
      <c r="M77" t="s">
        <v>0</v>
      </c>
      <c r="N77" t="s">
        <v>46</v>
      </c>
    </row>
    <row r="78" spans="1:21">
      <c r="A78" t="s">
        <v>1</v>
      </c>
      <c r="B78" t="s">
        <v>2</v>
      </c>
      <c r="C78" t="s">
        <v>3</v>
      </c>
      <c r="D78" t="s">
        <v>4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  <c r="J78" t="s">
        <v>10</v>
      </c>
      <c r="L78" t="s">
        <v>1</v>
      </c>
      <c r="M78" t="s">
        <v>2</v>
      </c>
      <c r="N78" t="s">
        <v>3</v>
      </c>
      <c r="O78" t="s">
        <v>4</v>
      </c>
      <c r="P78" t="s">
        <v>5</v>
      </c>
      <c r="Q78" t="s">
        <v>6</v>
      </c>
      <c r="R78" t="s">
        <v>7</v>
      </c>
      <c r="S78" t="s">
        <v>8</v>
      </c>
      <c r="T78" t="s">
        <v>9</v>
      </c>
      <c r="U78" t="s">
        <v>10</v>
      </c>
    </row>
    <row r="79" spans="1:21">
      <c r="A79">
        <v>1</v>
      </c>
      <c r="B79" t="s">
        <v>11</v>
      </c>
      <c r="C79" s="1">
        <v>45845</v>
      </c>
      <c r="D79">
        <v>26</v>
      </c>
      <c r="E79">
        <v>30</v>
      </c>
      <c r="F79">
        <v>4</v>
      </c>
      <c r="G79">
        <v>5</v>
      </c>
      <c r="H79">
        <v>9</v>
      </c>
      <c r="I79">
        <f>D79+E79+H79</f>
        <v>65</v>
      </c>
      <c r="J79" t="s">
        <v>12</v>
      </c>
      <c r="L79">
        <v>1</v>
      </c>
      <c r="M79" t="s">
        <v>11</v>
      </c>
      <c r="N79" s="1">
        <v>45846</v>
      </c>
      <c r="O79">
        <v>19</v>
      </c>
      <c r="P79">
        <v>23</v>
      </c>
      <c r="Q79">
        <v>4</v>
      </c>
      <c r="R79">
        <v>4</v>
      </c>
      <c r="S79">
        <v>8</v>
      </c>
      <c r="T79">
        <f>O79+P79+S79</f>
        <v>50</v>
      </c>
      <c r="U79" t="s">
        <v>12</v>
      </c>
    </row>
    <row r="80" spans="1:21">
      <c r="A80">
        <v>2</v>
      </c>
      <c r="B80" t="s">
        <v>13</v>
      </c>
      <c r="C80" s="1">
        <v>45845</v>
      </c>
      <c r="D80">
        <v>15</v>
      </c>
      <c r="E80">
        <v>3</v>
      </c>
      <c r="F80">
        <v>1</v>
      </c>
      <c r="G80">
        <v>0</v>
      </c>
      <c r="H80">
        <v>1</v>
      </c>
      <c r="I80">
        <f>D80+E80+H80</f>
        <v>19</v>
      </c>
      <c r="J80" t="s">
        <v>14</v>
      </c>
      <c r="L80">
        <v>2</v>
      </c>
      <c r="M80" t="s">
        <v>13</v>
      </c>
      <c r="N80" s="1">
        <v>45846</v>
      </c>
      <c r="O80">
        <v>17</v>
      </c>
      <c r="P80">
        <v>5</v>
      </c>
      <c r="Q80">
        <v>0</v>
      </c>
      <c r="R80">
        <v>0</v>
      </c>
      <c r="S80">
        <v>0</v>
      </c>
      <c r="T80">
        <f>O80+P80+S80</f>
        <v>22</v>
      </c>
      <c r="U80" t="s">
        <v>14</v>
      </c>
    </row>
    <row r="81" spans="1:21">
      <c r="A81">
        <v>3</v>
      </c>
      <c r="B81" t="s">
        <v>15</v>
      </c>
      <c r="C81" s="1">
        <v>45845</v>
      </c>
      <c r="D81">
        <v>46</v>
      </c>
      <c r="E81">
        <v>45</v>
      </c>
      <c r="H81">
        <v>0</v>
      </c>
      <c r="I81">
        <f>SUM(D81,E81,H81)</f>
        <v>91</v>
      </c>
      <c r="J81" t="s">
        <v>16</v>
      </c>
      <c r="L81">
        <v>3</v>
      </c>
      <c r="M81" t="s">
        <v>15</v>
      </c>
      <c r="N81" s="1">
        <v>45846</v>
      </c>
      <c r="O81">
        <v>48</v>
      </c>
      <c r="P81">
        <v>38</v>
      </c>
      <c r="S81">
        <v>0</v>
      </c>
      <c r="T81">
        <f>SUM(O81,P81,S81)</f>
        <v>86</v>
      </c>
      <c r="U81" t="s">
        <v>16</v>
      </c>
    </row>
    <row r="82" spans="1:21">
      <c r="A82">
        <v>4</v>
      </c>
      <c r="B82" t="s">
        <v>17</v>
      </c>
      <c r="C82" s="1">
        <v>45845</v>
      </c>
      <c r="D82">
        <v>26</v>
      </c>
      <c r="E82">
        <v>8</v>
      </c>
      <c r="F82">
        <v>0</v>
      </c>
      <c r="G82">
        <v>0</v>
      </c>
      <c r="H82">
        <v>0</v>
      </c>
      <c r="I82">
        <f t="shared" ref="I82:I96" si="6">D82+E82+H82</f>
        <v>34</v>
      </c>
      <c r="J82" t="s">
        <v>14</v>
      </c>
      <c r="L82">
        <v>4</v>
      </c>
      <c r="M82" t="s">
        <v>17</v>
      </c>
      <c r="N82" s="1">
        <v>45846</v>
      </c>
      <c r="O82">
        <v>24</v>
      </c>
      <c r="P82">
        <v>20</v>
      </c>
      <c r="S82">
        <v>6</v>
      </c>
      <c r="T82">
        <f t="shared" ref="T82:T96" si="7">O82+P82+S82</f>
        <v>50</v>
      </c>
      <c r="U82" t="s">
        <v>14</v>
      </c>
    </row>
    <row r="83" spans="1:21">
      <c r="A83">
        <v>5</v>
      </c>
      <c r="B83" t="s">
        <v>18</v>
      </c>
      <c r="C83" s="1">
        <v>45845</v>
      </c>
      <c r="D83">
        <v>539</v>
      </c>
      <c r="E83">
        <v>852</v>
      </c>
      <c r="H83">
        <v>294</v>
      </c>
      <c r="I83">
        <f t="shared" si="6"/>
        <v>1685</v>
      </c>
      <c r="J83" t="s">
        <v>19</v>
      </c>
      <c r="L83">
        <v>5</v>
      </c>
      <c r="M83" t="s">
        <v>18</v>
      </c>
      <c r="N83" s="1">
        <v>45846</v>
      </c>
      <c r="O83">
        <v>366</v>
      </c>
      <c r="P83">
        <v>640</v>
      </c>
      <c r="S83">
        <v>209</v>
      </c>
      <c r="T83">
        <f t="shared" si="7"/>
        <v>1215</v>
      </c>
      <c r="U83" t="s">
        <v>19</v>
      </c>
    </row>
    <row r="84" spans="1:21">
      <c r="A84">
        <v>6</v>
      </c>
      <c r="B84" t="s">
        <v>20</v>
      </c>
      <c r="C84" s="1">
        <v>45845</v>
      </c>
      <c r="D84">
        <v>84</v>
      </c>
      <c r="E84">
        <v>74</v>
      </c>
      <c r="H84">
        <v>0</v>
      </c>
      <c r="I84">
        <f t="shared" si="6"/>
        <v>158</v>
      </c>
      <c r="J84" t="s">
        <v>21</v>
      </c>
      <c r="L84">
        <v>6</v>
      </c>
      <c r="M84" t="s">
        <v>20</v>
      </c>
      <c r="N84" s="1">
        <v>45846</v>
      </c>
      <c r="O84">
        <v>100</v>
      </c>
      <c r="P84">
        <v>70</v>
      </c>
      <c r="S84">
        <v>0</v>
      </c>
      <c r="T84">
        <f t="shared" si="7"/>
        <v>170</v>
      </c>
      <c r="U84" t="s">
        <v>21</v>
      </c>
    </row>
    <row r="85" spans="1:21">
      <c r="A85">
        <v>7</v>
      </c>
      <c r="B85" t="s">
        <v>22</v>
      </c>
      <c r="C85" s="1">
        <v>45845</v>
      </c>
      <c r="I85">
        <f t="shared" si="6"/>
        <v>0</v>
      </c>
      <c r="J85" t="s">
        <v>14</v>
      </c>
      <c r="L85">
        <v>7</v>
      </c>
      <c r="M85" t="s">
        <v>22</v>
      </c>
      <c r="N85" s="1">
        <v>45846</v>
      </c>
      <c r="T85">
        <f t="shared" si="7"/>
        <v>0</v>
      </c>
      <c r="U85" t="s">
        <v>14</v>
      </c>
    </row>
    <row r="86" spans="1:21">
      <c r="A86">
        <v>8</v>
      </c>
      <c r="B86" t="s">
        <v>23</v>
      </c>
      <c r="C86" s="1">
        <v>45845</v>
      </c>
      <c r="I86">
        <f t="shared" si="6"/>
        <v>0</v>
      </c>
      <c r="J86" t="s">
        <v>12</v>
      </c>
      <c r="L86">
        <v>8</v>
      </c>
      <c r="M86" t="s">
        <v>23</v>
      </c>
      <c r="N86" s="1">
        <v>45846</v>
      </c>
      <c r="O86">
        <v>40</v>
      </c>
      <c r="P86">
        <v>18</v>
      </c>
      <c r="Q86">
        <v>2</v>
      </c>
      <c r="R86">
        <v>2</v>
      </c>
      <c r="S86">
        <v>4</v>
      </c>
      <c r="T86">
        <f t="shared" si="7"/>
        <v>62</v>
      </c>
      <c r="U86" t="s">
        <v>12</v>
      </c>
    </row>
    <row r="87" spans="1:21">
      <c r="A87">
        <v>9</v>
      </c>
      <c r="B87" t="s">
        <v>24</v>
      </c>
      <c r="C87" s="1">
        <v>45845</v>
      </c>
      <c r="D87">
        <v>46</v>
      </c>
      <c r="E87">
        <v>12</v>
      </c>
      <c r="H87">
        <v>11</v>
      </c>
      <c r="I87">
        <f t="shared" si="6"/>
        <v>69</v>
      </c>
      <c r="J87" t="s">
        <v>25</v>
      </c>
      <c r="L87">
        <v>9</v>
      </c>
      <c r="M87" t="s">
        <v>24</v>
      </c>
      <c r="N87" s="1">
        <v>45846</v>
      </c>
      <c r="O87">
        <v>31</v>
      </c>
      <c r="P87">
        <v>20</v>
      </c>
      <c r="S87">
        <v>11</v>
      </c>
      <c r="T87">
        <f t="shared" si="7"/>
        <v>62</v>
      </c>
      <c r="U87" t="s">
        <v>25</v>
      </c>
    </row>
    <row r="88" spans="1:21">
      <c r="A88">
        <v>10</v>
      </c>
      <c r="B88" t="s">
        <v>26</v>
      </c>
      <c r="C88" s="1">
        <v>45845</v>
      </c>
      <c r="D88">
        <v>118</v>
      </c>
      <c r="E88">
        <v>162</v>
      </c>
      <c r="H88">
        <v>46</v>
      </c>
      <c r="I88">
        <f t="shared" si="6"/>
        <v>326</v>
      </c>
      <c r="J88" t="s">
        <v>16</v>
      </c>
      <c r="L88">
        <v>10</v>
      </c>
      <c r="M88" t="s">
        <v>26</v>
      </c>
      <c r="N88" s="1">
        <v>45846</v>
      </c>
      <c r="O88">
        <v>139</v>
      </c>
      <c r="P88">
        <v>93</v>
      </c>
      <c r="S88">
        <v>44</v>
      </c>
      <c r="T88">
        <f t="shared" si="7"/>
        <v>276</v>
      </c>
      <c r="U88" t="s">
        <v>16</v>
      </c>
    </row>
    <row r="89" spans="1:21">
      <c r="A89">
        <v>11</v>
      </c>
      <c r="B89" t="s">
        <v>27</v>
      </c>
      <c r="C89" s="1">
        <v>45845</v>
      </c>
      <c r="I89">
        <f t="shared" si="6"/>
        <v>0</v>
      </c>
      <c r="J89" t="s">
        <v>19</v>
      </c>
      <c r="L89">
        <v>11</v>
      </c>
      <c r="M89" t="s">
        <v>27</v>
      </c>
      <c r="N89" s="1">
        <v>45846</v>
      </c>
      <c r="T89">
        <f t="shared" si="7"/>
        <v>0</v>
      </c>
      <c r="U89" t="s">
        <v>19</v>
      </c>
    </row>
    <row r="90" spans="1:21">
      <c r="A90">
        <v>12</v>
      </c>
      <c r="B90" t="s">
        <v>28</v>
      </c>
      <c r="C90" s="1">
        <v>45845</v>
      </c>
      <c r="I90">
        <f t="shared" si="6"/>
        <v>0</v>
      </c>
      <c r="J90" t="s">
        <v>25</v>
      </c>
      <c r="L90">
        <v>12</v>
      </c>
      <c r="M90" t="s">
        <v>28</v>
      </c>
      <c r="N90" s="1">
        <v>45846</v>
      </c>
      <c r="O90">
        <v>142</v>
      </c>
      <c r="P90">
        <v>243</v>
      </c>
      <c r="Q90">
        <v>21</v>
      </c>
      <c r="R90">
        <v>19</v>
      </c>
      <c r="S90">
        <v>40</v>
      </c>
      <c r="T90">
        <f t="shared" si="7"/>
        <v>425</v>
      </c>
      <c r="U90" t="s">
        <v>25</v>
      </c>
    </row>
    <row r="91" spans="1:21">
      <c r="A91">
        <v>13</v>
      </c>
      <c r="B91" t="s">
        <v>29</v>
      </c>
      <c r="C91" s="1">
        <v>45845</v>
      </c>
      <c r="I91">
        <f t="shared" si="6"/>
        <v>0</v>
      </c>
      <c r="J91" t="s">
        <v>30</v>
      </c>
      <c r="L91">
        <v>13</v>
      </c>
      <c r="M91" t="s">
        <v>29</v>
      </c>
      <c r="N91" s="1">
        <v>45846</v>
      </c>
      <c r="O91">
        <v>113</v>
      </c>
      <c r="P91">
        <v>101</v>
      </c>
      <c r="Q91">
        <v>8</v>
      </c>
      <c r="R91">
        <v>6</v>
      </c>
      <c r="S91">
        <v>14</v>
      </c>
      <c r="T91">
        <f t="shared" si="7"/>
        <v>228</v>
      </c>
      <c r="U91" t="s">
        <v>30</v>
      </c>
    </row>
    <row r="92" spans="1:21">
      <c r="A92">
        <v>14</v>
      </c>
      <c r="B92" t="s">
        <v>31</v>
      </c>
      <c r="C92" s="1">
        <v>45845</v>
      </c>
      <c r="D92">
        <v>37</v>
      </c>
      <c r="E92">
        <v>32</v>
      </c>
      <c r="F92">
        <v>0</v>
      </c>
      <c r="G92">
        <v>2</v>
      </c>
      <c r="H92">
        <v>2</v>
      </c>
      <c r="I92">
        <f t="shared" si="6"/>
        <v>71</v>
      </c>
      <c r="J92" t="s">
        <v>12</v>
      </c>
      <c r="L92">
        <v>14</v>
      </c>
      <c r="M92" t="s">
        <v>31</v>
      </c>
      <c r="N92" s="1">
        <v>45846</v>
      </c>
      <c r="O92">
        <v>38</v>
      </c>
      <c r="P92">
        <v>28</v>
      </c>
      <c r="Q92">
        <v>10</v>
      </c>
      <c r="R92">
        <v>0</v>
      </c>
      <c r="S92">
        <v>10</v>
      </c>
      <c r="T92">
        <f t="shared" si="7"/>
        <v>76</v>
      </c>
      <c r="U92" t="s">
        <v>12</v>
      </c>
    </row>
    <row r="93" spans="1:21">
      <c r="A93">
        <v>15</v>
      </c>
      <c r="B93" t="s">
        <v>32</v>
      </c>
      <c r="C93" s="1">
        <v>45845</v>
      </c>
      <c r="I93">
        <f t="shared" si="6"/>
        <v>0</v>
      </c>
      <c r="J93" t="s">
        <v>33</v>
      </c>
      <c r="L93">
        <v>15</v>
      </c>
      <c r="M93" t="s">
        <v>32</v>
      </c>
      <c r="N93" s="1">
        <v>45846</v>
      </c>
      <c r="T93">
        <f t="shared" si="7"/>
        <v>0</v>
      </c>
      <c r="U93" t="s">
        <v>33</v>
      </c>
    </row>
    <row r="94" spans="1:21">
      <c r="A94">
        <v>16</v>
      </c>
      <c r="B94" t="s">
        <v>34</v>
      </c>
      <c r="C94" s="1">
        <v>45845</v>
      </c>
      <c r="I94">
        <f t="shared" si="6"/>
        <v>0</v>
      </c>
      <c r="J94" t="s">
        <v>21</v>
      </c>
      <c r="L94">
        <v>16</v>
      </c>
      <c r="M94" t="s">
        <v>34</v>
      </c>
      <c r="N94" s="1">
        <v>45846</v>
      </c>
      <c r="O94">
        <v>20</v>
      </c>
      <c r="P94">
        <v>15</v>
      </c>
      <c r="Q94">
        <v>4</v>
      </c>
      <c r="R94">
        <v>3</v>
      </c>
      <c r="S94">
        <v>7</v>
      </c>
      <c r="T94">
        <f t="shared" si="7"/>
        <v>42</v>
      </c>
      <c r="U94" t="s">
        <v>21</v>
      </c>
    </row>
    <row r="95" spans="1:21">
      <c r="A95">
        <v>17</v>
      </c>
      <c r="B95" t="s">
        <v>35</v>
      </c>
      <c r="C95" s="1">
        <v>45845</v>
      </c>
      <c r="I95">
        <f t="shared" si="6"/>
        <v>0</v>
      </c>
      <c r="J95" t="s">
        <v>33</v>
      </c>
      <c r="L95">
        <v>17</v>
      </c>
      <c r="M95" t="s">
        <v>35</v>
      </c>
      <c r="N95" s="1">
        <v>45846</v>
      </c>
      <c r="T95">
        <f t="shared" si="7"/>
        <v>0</v>
      </c>
      <c r="U95" t="s">
        <v>33</v>
      </c>
    </row>
    <row r="96" spans="1:21">
      <c r="A96">
        <v>18</v>
      </c>
      <c r="B96" t="s">
        <v>36</v>
      </c>
      <c r="C96" s="1">
        <v>45845</v>
      </c>
      <c r="I96">
        <f t="shared" si="6"/>
        <v>0</v>
      </c>
      <c r="J96" t="s">
        <v>33</v>
      </c>
      <c r="L96">
        <v>18</v>
      </c>
      <c r="M96" t="s">
        <v>36</v>
      </c>
      <c r="N96" s="1">
        <v>45846</v>
      </c>
      <c r="O96">
        <v>243</v>
      </c>
      <c r="P96">
        <v>252</v>
      </c>
      <c r="S96">
        <v>0</v>
      </c>
      <c r="T96">
        <f t="shared" si="7"/>
        <v>495</v>
      </c>
      <c r="U96" t="s">
        <v>33</v>
      </c>
    </row>
    <row r="97" spans="1:21">
      <c r="A97">
        <v>19</v>
      </c>
      <c r="B97" t="s">
        <v>37</v>
      </c>
      <c r="C97" s="1">
        <v>45845</v>
      </c>
      <c r="I97">
        <f>D97+E97+H97</f>
        <v>0</v>
      </c>
      <c r="L97">
        <v>19</v>
      </c>
      <c r="M97" t="s">
        <v>37</v>
      </c>
      <c r="N97" s="1">
        <v>45846</v>
      </c>
      <c r="T97">
        <f>O97+P97+S97</f>
        <v>0</v>
      </c>
    </row>
    <row r="98" spans="1:21">
      <c r="A98">
        <v>20</v>
      </c>
      <c r="B98" t="s">
        <v>38</v>
      </c>
      <c r="C98" s="1">
        <v>45845</v>
      </c>
      <c r="I98">
        <f t="shared" ref="I98" si="8">D98+E98+H98</f>
        <v>0</v>
      </c>
      <c r="J98" t="s">
        <v>19</v>
      </c>
      <c r="L98">
        <v>20</v>
      </c>
      <c r="M98" t="s">
        <v>38</v>
      </c>
      <c r="N98" s="1">
        <v>45846</v>
      </c>
      <c r="T98">
        <f t="shared" ref="T98" si="9">O98+P98+S98</f>
        <v>0</v>
      </c>
      <c r="U98" t="s">
        <v>19</v>
      </c>
    </row>
    <row r="99" spans="1:21">
      <c r="B99" t="s">
        <v>9</v>
      </c>
      <c r="D99">
        <f>D79+D80+D81+D82+D83+D84+D86+D85+D87+D88+D89+D90+D91+D92+D94+D96</f>
        <v>937</v>
      </c>
      <c r="E99">
        <f>SUM(E79:E98)</f>
        <v>1218</v>
      </c>
      <c r="I99">
        <f>I79+I80+I81+I82+I83+I84+I85+I86+I87+I88+I89+I90+I91+I92+I93+I94+I95+I96+I97+I98</f>
        <v>2518</v>
      </c>
      <c r="M99" t="s">
        <v>9</v>
      </c>
      <c r="O99">
        <f>O79+O80+O81+O82+O83+O84+O86+O85+O87+O88+O89+O90+O91+O92+O94+O96</f>
        <v>1340</v>
      </c>
      <c r="P99">
        <f>SUM(P79:P98)</f>
        <v>1566</v>
      </c>
      <c r="T99">
        <f>T79+T80+T81+T82+T83+T84+T85+T86+T87+T88+T89+T90+T91+T92+T93+T94+T95+T96+T97+T98</f>
        <v>3259</v>
      </c>
    </row>
    <row r="101" spans="1:21">
      <c r="B101" t="s">
        <v>0</v>
      </c>
      <c r="C101" t="s">
        <v>47</v>
      </c>
      <c r="M101" t="s">
        <v>0</v>
      </c>
      <c r="N101" t="s">
        <v>48</v>
      </c>
    </row>
    <row r="102" spans="1:21">
      <c r="A102" t="s">
        <v>1</v>
      </c>
      <c r="B102" t="s">
        <v>2</v>
      </c>
      <c r="C102" t="s">
        <v>3</v>
      </c>
      <c r="D102" t="s">
        <v>4</v>
      </c>
      <c r="E102" t="s">
        <v>5</v>
      </c>
      <c r="F102" t="s">
        <v>6</v>
      </c>
      <c r="G102" t="s">
        <v>7</v>
      </c>
      <c r="H102" t="s">
        <v>8</v>
      </c>
      <c r="I102" t="s">
        <v>9</v>
      </c>
      <c r="J102" t="s">
        <v>10</v>
      </c>
      <c r="L102" t="s">
        <v>1</v>
      </c>
      <c r="M102" t="s">
        <v>2</v>
      </c>
      <c r="N102" t="s">
        <v>3</v>
      </c>
      <c r="O102" t="s">
        <v>4</v>
      </c>
      <c r="P102" t="s">
        <v>5</v>
      </c>
      <c r="Q102" t="s">
        <v>6</v>
      </c>
      <c r="R102" t="s">
        <v>7</v>
      </c>
      <c r="S102" t="s">
        <v>8</v>
      </c>
      <c r="T102" t="s">
        <v>9</v>
      </c>
      <c r="U102" t="s">
        <v>10</v>
      </c>
    </row>
    <row r="103" spans="1:21">
      <c r="A103">
        <v>1</v>
      </c>
      <c r="B103" t="s">
        <v>11</v>
      </c>
      <c r="C103" s="2">
        <v>45847</v>
      </c>
      <c r="D103">
        <v>21</v>
      </c>
      <c r="E103">
        <v>19</v>
      </c>
      <c r="F103">
        <v>6</v>
      </c>
      <c r="G103">
        <v>2</v>
      </c>
      <c r="H103">
        <v>8</v>
      </c>
      <c r="I103">
        <f>D103+E103+H103</f>
        <v>48</v>
      </c>
      <c r="J103" t="s">
        <v>12</v>
      </c>
      <c r="L103">
        <v>1</v>
      </c>
      <c r="M103" t="s">
        <v>11</v>
      </c>
      <c r="N103" s="1">
        <v>45848</v>
      </c>
      <c r="O103">
        <v>17</v>
      </c>
      <c r="P103">
        <v>19</v>
      </c>
      <c r="Q103">
        <v>2</v>
      </c>
      <c r="R103">
        <v>5</v>
      </c>
      <c r="T103">
        <f>O103+P103+S103</f>
        <v>36</v>
      </c>
      <c r="U103" t="s">
        <v>12</v>
      </c>
    </row>
    <row r="104" spans="1:21">
      <c r="A104">
        <v>2</v>
      </c>
      <c r="B104" t="s">
        <v>13</v>
      </c>
      <c r="C104" s="2">
        <v>45847</v>
      </c>
      <c r="D104">
        <v>11</v>
      </c>
      <c r="E104">
        <v>6</v>
      </c>
      <c r="F104">
        <v>0</v>
      </c>
      <c r="G104">
        <v>0</v>
      </c>
      <c r="H104">
        <v>0</v>
      </c>
      <c r="I104">
        <f>D104+E104+H104</f>
        <v>17</v>
      </c>
      <c r="J104" t="s">
        <v>14</v>
      </c>
      <c r="L104">
        <v>2</v>
      </c>
      <c r="M104" t="s">
        <v>13</v>
      </c>
      <c r="N104" s="1">
        <v>45848</v>
      </c>
      <c r="O104">
        <v>15</v>
      </c>
      <c r="P104">
        <v>3</v>
      </c>
      <c r="Q104">
        <v>0</v>
      </c>
      <c r="R104">
        <v>0</v>
      </c>
      <c r="S104">
        <v>0</v>
      </c>
      <c r="T104">
        <f>O104+P104+S104</f>
        <v>18</v>
      </c>
      <c r="U104" t="s">
        <v>14</v>
      </c>
    </row>
    <row r="105" spans="1:21">
      <c r="A105">
        <v>3</v>
      </c>
      <c r="B105" t="s">
        <v>15</v>
      </c>
      <c r="C105" s="2">
        <v>45847</v>
      </c>
      <c r="D105">
        <v>38</v>
      </c>
      <c r="E105">
        <v>50</v>
      </c>
      <c r="H105">
        <v>0</v>
      </c>
      <c r="I105">
        <f>SUM(D105,E105,H105)</f>
        <v>88</v>
      </c>
      <c r="J105" t="s">
        <v>16</v>
      </c>
      <c r="L105">
        <v>3</v>
      </c>
      <c r="M105" t="s">
        <v>15</v>
      </c>
      <c r="N105" s="1">
        <v>45848</v>
      </c>
      <c r="O105">
        <v>37</v>
      </c>
      <c r="P105">
        <v>46</v>
      </c>
      <c r="S105">
        <v>0</v>
      </c>
      <c r="T105">
        <f>SUM(O105,P105,S105)</f>
        <v>83</v>
      </c>
      <c r="U105" t="s">
        <v>16</v>
      </c>
    </row>
    <row r="106" spans="1:21">
      <c r="A106">
        <v>4</v>
      </c>
      <c r="B106" t="s">
        <v>17</v>
      </c>
      <c r="C106" s="2">
        <v>45847</v>
      </c>
      <c r="D106">
        <v>36</v>
      </c>
      <c r="E106">
        <v>22</v>
      </c>
      <c r="H106">
        <v>3</v>
      </c>
      <c r="I106">
        <f t="shared" ref="I106:I120" si="10">D106+E106+H106</f>
        <v>61</v>
      </c>
      <c r="J106" t="s">
        <v>14</v>
      </c>
      <c r="L106">
        <v>4</v>
      </c>
      <c r="M106" t="s">
        <v>17</v>
      </c>
      <c r="N106" s="1">
        <v>45848</v>
      </c>
      <c r="O106">
        <v>20</v>
      </c>
      <c r="P106">
        <v>5</v>
      </c>
      <c r="Q106">
        <v>0</v>
      </c>
      <c r="R106">
        <v>0</v>
      </c>
      <c r="S106">
        <v>0</v>
      </c>
      <c r="T106">
        <f t="shared" ref="T106:T120" si="11">O106+P106+S106</f>
        <v>25</v>
      </c>
      <c r="U106" t="s">
        <v>14</v>
      </c>
    </row>
    <row r="107" spans="1:21">
      <c r="A107">
        <v>5</v>
      </c>
      <c r="B107" t="s">
        <v>18</v>
      </c>
      <c r="C107" s="2">
        <v>45847</v>
      </c>
      <c r="D107">
        <v>291</v>
      </c>
      <c r="E107">
        <v>524</v>
      </c>
      <c r="H107">
        <v>215</v>
      </c>
      <c r="I107">
        <f t="shared" si="10"/>
        <v>1030</v>
      </c>
      <c r="J107" t="s">
        <v>19</v>
      </c>
      <c r="L107">
        <v>5</v>
      </c>
      <c r="M107" t="s">
        <v>18</v>
      </c>
      <c r="N107" s="1">
        <v>45848</v>
      </c>
      <c r="O107">
        <v>242</v>
      </c>
      <c r="P107">
        <v>414</v>
      </c>
      <c r="S107">
        <v>191</v>
      </c>
      <c r="T107">
        <f t="shared" si="11"/>
        <v>847</v>
      </c>
      <c r="U107" t="s">
        <v>19</v>
      </c>
    </row>
    <row r="108" spans="1:21">
      <c r="A108">
        <v>6</v>
      </c>
      <c r="B108" t="s">
        <v>20</v>
      </c>
      <c r="C108" s="2">
        <v>45847</v>
      </c>
      <c r="D108">
        <v>92</v>
      </c>
      <c r="E108">
        <v>43</v>
      </c>
      <c r="H108">
        <v>36</v>
      </c>
      <c r="I108">
        <f t="shared" si="10"/>
        <v>171</v>
      </c>
      <c r="J108" t="s">
        <v>21</v>
      </c>
      <c r="L108">
        <v>6</v>
      </c>
      <c r="M108" t="s">
        <v>20</v>
      </c>
      <c r="N108" s="1">
        <v>45848</v>
      </c>
      <c r="O108">
        <v>57</v>
      </c>
      <c r="P108">
        <v>37</v>
      </c>
      <c r="S108">
        <v>0</v>
      </c>
      <c r="T108">
        <f t="shared" si="11"/>
        <v>94</v>
      </c>
      <c r="U108" t="s">
        <v>21</v>
      </c>
    </row>
    <row r="109" spans="1:21">
      <c r="A109">
        <v>7</v>
      </c>
      <c r="B109" t="s">
        <v>22</v>
      </c>
      <c r="C109" s="2">
        <v>45847</v>
      </c>
      <c r="I109">
        <f t="shared" si="10"/>
        <v>0</v>
      </c>
      <c r="J109" t="s">
        <v>14</v>
      </c>
      <c r="L109">
        <v>7</v>
      </c>
      <c r="M109" t="s">
        <v>22</v>
      </c>
      <c r="N109" s="1">
        <v>45848</v>
      </c>
      <c r="T109">
        <f t="shared" si="11"/>
        <v>0</v>
      </c>
      <c r="U109" t="s">
        <v>14</v>
      </c>
    </row>
    <row r="110" spans="1:21">
      <c r="A110">
        <v>8</v>
      </c>
      <c r="B110" t="s">
        <v>23</v>
      </c>
      <c r="C110" s="2">
        <v>45847</v>
      </c>
      <c r="I110">
        <f t="shared" si="10"/>
        <v>0</v>
      </c>
      <c r="J110" t="s">
        <v>12</v>
      </c>
      <c r="L110">
        <v>8</v>
      </c>
      <c r="M110" t="s">
        <v>23</v>
      </c>
      <c r="N110" s="1">
        <v>45848</v>
      </c>
      <c r="T110">
        <f t="shared" si="11"/>
        <v>0</v>
      </c>
      <c r="U110" t="s">
        <v>12</v>
      </c>
    </row>
    <row r="111" spans="1:21">
      <c r="A111">
        <v>9</v>
      </c>
      <c r="B111" t="s">
        <v>24</v>
      </c>
      <c r="C111" s="2">
        <v>45847</v>
      </c>
      <c r="D111">
        <v>29</v>
      </c>
      <c r="E111">
        <v>7</v>
      </c>
      <c r="H111">
        <v>0</v>
      </c>
      <c r="I111">
        <f t="shared" si="10"/>
        <v>36</v>
      </c>
      <c r="J111" t="s">
        <v>25</v>
      </c>
      <c r="L111">
        <v>9</v>
      </c>
      <c r="M111" t="s">
        <v>24</v>
      </c>
      <c r="N111" s="1">
        <v>45848</v>
      </c>
      <c r="O111">
        <v>68</v>
      </c>
      <c r="P111">
        <v>12</v>
      </c>
      <c r="S111">
        <v>1</v>
      </c>
      <c r="T111">
        <f t="shared" si="11"/>
        <v>81</v>
      </c>
      <c r="U111" t="s">
        <v>25</v>
      </c>
    </row>
    <row r="112" spans="1:21">
      <c r="A112">
        <v>10</v>
      </c>
      <c r="B112" t="s">
        <v>26</v>
      </c>
      <c r="C112" s="2">
        <v>45847</v>
      </c>
      <c r="D112">
        <v>144</v>
      </c>
      <c r="E112">
        <v>86</v>
      </c>
      <c r="H112">
        <v>28</v>
      </c>
      <c r="I112">
        <f t="shared" si="10"/>
        <v>258</v>
      </c>
      <c r="J112" t="s">
        <v>16</v>
      </c>
      <c r="L112">
        <v>10</v>
      </c>
      <c r="M112" t="s">
        <v>26</v>
      </c>
      <c r="N112" s="1">
        <v>45848</v>
      </c>
      <c r="O112">
        <v>96</v>
      </c>
      <c r="P112">
        <v>67</v>
      </c>
      <c r="S112">
        <v>25</v>
      </c>
      <c r="T112">
        <f t="shared" si="11"/>
        <v>188</v>
      </c>
      <c r="U112" t="s">
        <v>16</v>
      </c>
    </row>
    <row r="113" spans="1:21">
      <c r="A113">
        <v>11</v>
      </c>
      <c r="B113" t="s">
        <v>27</v>
      </c>
      <c r="C113" s="2">
        <v>45847</v>
      </c>
      <c r="D113">
        <v>8</v>
      </c>
      <c r="E113">
        <v>3</v>
      </c>
      <c r="F113">
        <v>0</v>
      </c>
      <c r="G113">
        <v>1</v>
      </c>
      <c r="H113">
        <v>1</v>
      </c>
      <c r="I113">
        <f t="shared" si="10"/>
        <v>12</v>
      </c>
      <c r="J113" t="s">
        <v>19</v>
      </c>
      <c r="L113">
        <v>11</v>
      </c>
      <c r="M113" t="s">
        <v>27</v>
      </c>
      <c r="N113" s="1">
        <v>45848</v>
      </c>
      <c r="T113">
        <f t="shared" si="11"/>
        <v>0</v>
      </c>
      <c r="U113" t="s">
        <v>19</v>
      </c>
    </row>
    <row r="114" spans="1:21">
      <c r="A114">
        <v>12</v>
      </c>
      <c r="B114" t="s">
        <v>28</v>
      </c>
      <c r="C114" s="2">
        <v>45847</v>
      </c>
      <c r="D114">
        <v>195</v>
      </c>
      <c r="E114">
        <v>207</v>
      </c>
      <c r="F114">
        <v>20</v>
      </c>
      <c r="G114">
        <v>19</v>
      </c>
      <c r="H114">
        <v>39</v>
      </c>
      <c r="I114">
        <f t="shared" si="10"/>
        <v>441</v>
      </c>
      <c r="J114" t="s">
        <v>25</v>
      </c>
      <c r="L114">
        <v>12</v>
      </c>
      <c r="M114" t="s">
        <v>28</v>
      </c>
      <c r="N114" s="1">
        <v>45848</v>
      </c>
      <c r="O114">
        <v>173</v>
      </c>
      <c r="P114">
        <v>185</v>
      </c>
      <c r="Q114">
        <v>22</v>
      </c>
      <c r="R114">
        <v>18</v>
      </c>
      <c r="S114">
        <v>40</v>
      </c>
      <c r="T114">
        <f t="shared" si="11"/>
        <v>398</v>
      </c>
      <c r="U114" t="s">
        <v>25</v>
      </c>
    </row>
    <row r="115" spans="1:21">
      <c r="A115">
        <v>13</v>
      </c>
      <c r="B115" t="s">
        <v>29</v>
      </c>
      <c r="C115" s="2">
        <v>45847</v>
      </c>
      <c r="D115">
        <v>143</v>
      </c>
      <c r="E115">
        <v>133</v>
      </c>
      <c r="F115">
        <v>5</v>
      </c>
      <c r="G115">
        <v>7</v>
      </c>
      <c r="H115">
        <v>12</v>
      </c>
      <c r="I115">
        <f t="shared" si="10"/>
        <v>288</v>
      </c>
      <c r="J115" t="s">
        <v>30</v>
      </c>
      <c r="L115">
        <v>13</v>
      </c>
      <c r="M115" t="s">
        <v>29</v>
      </c>
      <c r="N115" s="1">
        <v>45848</v>
      </c>
      <c r="O115">
        <v>124</v>
      </c>
      <c r="P115">
        <v>114</v>
      </c>
      <c r="S115">
        <v>0</v>
      </c>
      <c r="T115">
        <f t="shared" si="11"/>
        <v>238</v>
      </c>
      <c r="U115" t="s">
        <v>30</v>
      </c>
    </row>
    <row r="116" spans="1:21">
      <c r="A116">
        <v>14</v>
      </c>
      <c r="B116" t="s">
        <v>31</v>
      </c>
      <c r="C116" s="2">
        <v>45847</v>
      </c>
      <c r="D116">
        <v>53</v>
      </c>
      <c r="E116">
        <v>28</v>
      </c>
      <c r="F116">
        <v>12</v>
      </c>
      <c r="G116">
        <v>1</v>
      </c>
      <c r="H116">
        <v>13</v>
      </c>
      <c r="I116">
        <f t="shared" si="10"/>
        <v>94</v>
      </c>
      <c r="J116" t="s">
        <v>12</v>
      </c>
      <c r="L116">
        <v>14</v>
      </c>
      <c r="M116" t="s">
        <v>31</v>
      </c>
      <c r="N116" s="1">
        <v>45848</v>
      </c>
      <c r="O116">
        <v>37</v>
      </c>
      <c r="P116">
        <v>85</v>
      </c>
      <c r="Q116">
        <v>3</v>
      </c>
      <c r="R116">
        <v>1</v>
      </c>
      <c r="S116">
        <v>4</v>
      </c>
      <c r="T116">
        <f t="shared" si="11"/>
        <v>126</v>
      </c>
      <c r="U116" t="s">
        <v>12</v>
      </c>
    </row>
    <row r="117" spans="1:21">
      <c r="A117">
        <v>15</v>
      </c>
      <c r="B117" t="s">
        <v>32</v>
      </c>
      <c r="C117" s="2">
        <v>45847</v>
      </c>
      <c r="I117">
        <f t="shared" si="10"/>
        <v>0</v>
      </c>
      <c r="J117" t="s">
        <v>33</v>
      </c>
      <c r="L117">
        <v>15</v>
      </c>
      <c r="M117" t="s">
        <v>32</v>
      </c>
      <c r="N117" s="1">
        <v>45848</v>
      </c>
      <c r="T117">
        <f t="shared" si="11"/>
        <v>0</v>
      </c>
      <c r="U117" t="s">
        <v>33</v>
      </c>
    </row>
    <row r="118" spans="1:21">
      <c r="A118">
        <v>16</v>
      </c>
      <c r="B118" t="s">
        <v>34</v>
      </c>
      <c r="C118" s="2">
        <v>45847</v>
      </c>
      <c r="D118">
        <v>10</v>
      </c>
      <c r="E118">
        <v>4</v>
      </c>
      <c r="F118">
        <v>2</v>
      </c>
      <c r="G118">
        <v>0</v>
      </c>
      <c r="H118">
        <v>2</v>
      </c>
      <c r="I118">
        <f t="shared" si="10"/>
        <v>16</v>
      </c>
      <c r="J118" t="s">
        <v>21</v>
      </c>
      <c r="L118">
        <v>16</v>
      </c>
      <c r="M118" t="s">
        <v>34</v>
      </c>
      <c r="N118" s="1">
        <v>45848</v>
      </c>
      <c r="T118">
        <f t="shared" si="11"/>
        <v>0</v>
      </c>
      <c r="U118" t="s">
        <v>21</v>
      </c>
    </row>
    <row r="119" spans="1:21">
      <c r="A119">
        <v>17</v>
      </c>
      <c r="B119" t="s">
        <v>35</v>
      </c>
      <c r="C119" s="2">
        <v>45847</v>
      </c>
      <c r="I119">
        <f t="shared" si="10"/>
        <v>0</v>
      </c>
      <c r="J119" t="s">
        <v>33</v>
      </c>
      <c r="L119">
        <v>17</v>
      </c>
      <c r="M119" t="s">
        <v>35</v>
      </c>
      <c r="N119" s="1">
        <v>45848</v>
      </c>
      <c r="T119">
        <f t="shared" si="11"/>
        <v>0</v>
      </c>
      <c r="U119" t="s">
        <v>33</v>
      </c>
    </row>
    <row r="120" spans="1:21">
      <c r="A120">
        <v>18</v>
      </c>
      <c r="B120" t="s">
        <v>36</v>
      </c>
      <c r="C120" s="2">
        <v>45847</v>
      </c>
      <c r="D120">
        <v>229</v>
      </c>
      <c r="E120">
        <v>272</v>
      </c>
      <c r="H120">
        <v>0</v>
      </c>
      <c r="I120">
        <f t="shared" si="10"/>
        <v>501</v>
      </c>
      <c r="J120" t="s">
        <v>33</v>
      </c>
      <c r="L120">
        <v>18</v>
      </c>
      <c r="M120" t="s">
        <v>36</v>
      </c>
      <c r="N120" s="1">
        <v>45848</v>
      </c>
      <c r="O120">
        <v>231</v>
      </c>
      <c r="P120">
        <v>249</v>
      </c>
      <c r="S120">
        <v>0</v>
      </c>
      <c r="T120">
        <f t="shared" si="11"/>
        <v>480</v>
      </c>
      <c r="U120" t="s">
        <v>33</v>
      </c>
    </row>
    <row r="121" spans="1:21">
      <c r="A121">
        <v>19</v>
      </c>
      <c r="B121" t="s">
        <v>37</v>
      </c>
      <c r="C121" s="2">
        <v>45847</v>
      </c>
      <c r="I121">
        <f>D121+E121+H121</f>
        <v>0</v>
      </c>
      <c r="L121">
        <v>19</v>
      </c>
      <c r="M121" t="s">
        <v>37</v>
      </c>
      <c r="N121" s="1">
        <v>45848</v>
      </c>
      <c r="T121">
        <f>O121+P121+S121</f>
        <v>0</v>
      </c>
    </row>
    <row r="122" spans="1:21">
      <c r="A122">
        <v>20</v>
      </c>
      <c r="B122" t="s">
        <v>38</v>
      </c>
      <c r="C122" s="2">
        <v>45847</v>
      </c>
      <c r="I122">
        <f t="shared" ref="I122" si="12">D122+E122+H122</f>
        <v>0</v>
      </c>
      <c r="J122" t="s">
        <v>19</v>
      </c>
      <c r="L122">
        <v>20</v>
      </c>
      <c r="M122" t="s">
        <v>38</v>
      </c>
      <c r="N122" s="1">
        <v>45848</v>
      </c>
      <c r="T122">
        <f t="shared" ref="T122" si="13">O122+P122+S122</f>
        <v>0</v>
      </c>
      <c r="U122" t="s">
        <v>19</v>
      </c>
    </row>
    <row r="123" spans="1:21">
      <c r="B123" t="s">
        <v>9</v>
      </c>
      <c r="D123">
        <f>D103+D104+D105+D106+D107+D108+D110+D109+D111+D112+D113+D114+D115+D116+D118+D120</f>
        <v>1300</v>
      </c>
      <c r="E123">
        <f>SUM(E103:E122)</f>
        <v>1404</v>
      </c>
      <c r="I123">
        <f>I103+I104+I105+I106+I107+I108+I109+I110+I111+I112+I113+I114+I115+I116+I117+I118+I119+I120+I121+I122</f>
        <v>3061</v>
      </c>
      <c r="M123" t="s">
        <v>9</v>
      </c>
      <c r="O123">
        <f>O103+O104+O105+O106+O107+O108+O110+O109+O111+O112+O113+O114+O115+O116+O118+O120</f>
        <v>1117</v>
      </c>
      <c r="P123">
        <f>SUM(P103:P122)</f>
        <v>1236</v>
      </c>
      <c r="T123">
        <f>T103+T104+T105+T106+T107+T108+T109+T110+T111+T112+T113+T114+T115+T116+T117+T118+T119+T120+T121+T122</f>
        <v>2614</v>
      </c>
    </row>
    <row r="125" spans="1:21">
      <c r="B125" t="s">
        <v>0</v>
      </c>
      <c r="C125" t="s">
        <v>49</v>
      </c>
      <c r="M125" t="s">
        <v>0</v>
      </c>
      <c r="N125" t="s">
        <v>50</v>
      </c>
    </row>
    <row r="126" spans="1:21">
      <c r="A126" t="s">
        <v>1</v>
      </c>
      <c r="B126" t="s">
        <v>2</v>
      </c>
      <c r="C126" t="s">
        <v>3</v>
      </c>
      <c r="D126" t="s">
        <v>4</v>
      </c>
      <c r="E126" t="s">
        <v>5</v>
      </c>
      <c r="F126" t="s">
        <v>6</v>
      </c>
      <c r="G126" t="s">
        <v>7</v>
      </c>
      <c r="H126" t="s">
        <v>8</v>
      </c>
      <c r="I126" t="s">
        <v>9</v>
      </c>
      <c r="J126" t="s">
        <v>10</v>
      </c>
      <c r="L126" t="s">
        <v>1</v>
      </c>
      <c r="M126" t="s">
        <v>2</v>
      </c>
      <c r="N126" t="s">
        <v>3</v>
      </c>
      <c r="O126" t="s">
        <v>4</v>
      </c>
      <c r="P126" t="s">
        <v>5</v>
      </c>
      <c r="Q126" t="s">
        <v>6</v>
      </c>
      <c r="R126" t="s">
        <v>7</v>
      </c>
      <c r="S126" t="s">
        <v>8</v>
      </c>
      <c r="T126" t="s">
        <v>9</v>
      </c>
      <c r="U126" t="s">
        <v>10</v>
      </c>
    </row>
    <row r="127" spans="1:21">
      <c r="A127">
        <v>1</v>
      </c>
      <c r="B127" t="s">
        <v>11</v>
      </c>
      <c r="C127" s="1">
        <v>45849</v>
      </c>
      <c r="D127">
        <v>25</v>
      </c>
      <c r="E127">
        <v>21</v>
      </c>
      <c r="F127">
        <v>3</v>
      </c>
      <c r="G127">
        <v>3</v>
      </c>
      <c r="H127">
        <v>6</v>
      </c>
      <c r="I127">
        <f>D127+E127+H127</f>
        <v>52</v>
      </c>
      <c r="J127" t="s">
        <v>12</v>
      </c>
      <c r="L127">
        <v>1</v>
      </c>
      <c r="M127" t="s">
        <v>11</v>
      </c>
      <c r="N127" s="1">
        <v>45850</v>
      </c>
      <c r="O127">
        <v>30</v>
      </c>
      <c r="P127">
        <v>16</v>
      </c>
      <c r="Q127">
        <v>4</v>
      </c>
      <c r="R127">
        <v>3</v>
      </c>
      <c r="S127">
        <v>7</v>
      </c>
      <c r="T127">
        <f>O127+P127+S127</f>
        <v>53</v>
      </c>
      <c r="U127" t="s">
        <v>12</v>
      </c>
    </row>
    <row r="128" spans="1:21">
      <c r="A128">
        <v>2</v>
      </c>
      <c r="B128" t="s">
        <v>13</v>
      </c>
      <c r="C128" s="1">
        <v>45849</v>
      </c>
      <c r="I128">
        <f>D128+E128+H128</f>
        <v>0</v>
      </c>
      <c r="J128" t="s">
        <v>14</v>
      </c>
      <c r="L128">
        <v>2</v>
      </c>
      <c r="M128" t="s">
        <v>13</v>
      </c>
      <c r="N128" s="1">
        <v>45850</v>
      </c>
      <c r="O128">
        <v>18</v>
      </c>
      <c r="P128">
        <v>4</v>
      </c>
      <c r="Q128">
        <v>0</v>
      </c>
      <c r="R128">
        <v>0</v>
      </c>
      <c r="S128">
        <v>0</v>
      </c>
      <c r="T128">
        <f>O128+P128+S128</f>
        <v>22</v>
      </c>
      <c r="U128" t="s">
        <v>14</v>
      </c>
    </row>
    <row r="129" spans="1:21">
      <c r="A129">
        <v>3</v>
      </c>
      <c r="B129" t="s">
        <v>15</v>
      </c>
      <c r="C129" s="1">
        <v>45849</v>
      </c>
      <c r="D129">
        <v>37</v>
      </c>
      <c r="E129">
        <v>55</v>
      </c>
      <c r="H129">
        <v>0</v>
      </c>
      <c r="I129">
        <f>SUM(D129,E129,H129)</f>
        <v>92</v>
      </c>
      <c r="J129" t="s">
        <v>16</v>
      </c>
      <c r="L129">
        <v>3</v>
      </c>
      <c r="M129" t="s">
        <v>15</v>
      </c>
      <c r="N129" s="1">
        <v>45850</v>
      </c>
      <c r="O129">
        <v>42</v>
      </c>
      <c r="P129">
        <v>39</v>
      </c>
      <c r="S129">
        <v>0</v>
      </c>
      <c r="T129">
        <f>SUM(O129,P129,S129)</f>
        <v>81</v>
      </c>
      <c r="U129" t="s">
        <v>16</v>
      </c>
    </row>
    <row r="130" spans="1:21">
      <c r="A130">
        <v>4</v>
      </c>
      <c r="B130" t="s">
        <v>17</v>
      </c>
      <c r="C130" s="1">
        <v>45849</v>
      </c>
      <c r="D130">
        <v>31</v>
      </c>
      <c r="E130">
        <v>12</v>
      </c>
      <c r="H130">
        <v>1</v>
      </c>
      <c r="I130">
        <f t="shared" ref="I130:I144" si="14">D130+E130+H130</f>
        <v>44</v>
      </c>
      <c r="J130" t="s">
        <v>14</v>
      </c>
      <c r="L130">
        <v>4</v>
      </c>
      <c r="M130" t="s">
        <v>17</v>
      </c>
      <c r="N130" s="1">
        <v>45850</v>
      </c>
      <c r="O130">
        <v>43</v>
      </c>
      <c r="P130">
        <v>10</v>
      </c>
      <c r="S130">
        <v>2</v>
      </c>
      <c r="T130">
        <f t="shared" ref="T130:T144" si="15">O130+P130+S130</f>
        <v>55</v>
      </c>
      <c r="U130" t="s">
        <v>14</v>
      </c>
    </row>
    <row r="131" spans="1:21">
      <c r="A131">
        <v>5</v>
      </c>
      <c r="B131" t="s">
        <v>18</v>
      </c>
      <c r="C131" s="1">
        <v>45849</v>
      </c>
      <c r="D131">
        <v>310</v>
      </c>
      <c r="E131">
        <v>442</v>
      </c>
      <c r="H131">
        <v>211</v>
      </c>
      <c r="I131">
        <f t="shared" si="14"/>
        <v>963</v>
      </c>
      <c r="J131" t="s">
        <v>19</v>
      </c>
      <c r="L131">
        <v>5</v>
      </c>
      <c r="M131" t="s">
        <v>18</v>
      </c>
      <c r="N131" s="1">
        <v>45850</v>
      </c>
      <c r="O131">
        <v>224</v>
      </c>
      <c r="P131">
        <v>424</v>
      </c>
      <c r="S131">
        <v>188</v>
      </c>
      <c r="T131">
        <f t="shared" si="15"/>
        <v>836</v>
      </c>
      <c r="U131" t="s">
        <v>19</v>
      </c>
    </row>
    <row r="132" spans="1:21">
      <c r="A132">
        <v>6</v>
      </c>
      <c r="B132" t="s">
        <v>20</v>
      </c>
      <c r="C132" s="1">
        <v>45849</v>
      </c>
      <c r="I132">
        <f t="shared" si="14"/>
        <v>0</v>
      </c>
      <c r="J132" t="s">
        <v>21</v>
      </c>
      <c r="L132">
        <v>6</v>
      </c>
      <c r="M132" t="s">
        <v>20</v>
      </c>
      <c r="N132" s="1">
        <v>45850</v>
      </c>
      <c r="O132">
        <v>106</v>
      </c>
      <c r="P132">
        <v>55</v>
      </c>
      <c r="S132">
        <v>16</v>
      </c>
      <c r="T132">
        <f t="shared" si="15"/>
        <v>177</v>
      </c>
      <c r="U132" t="s">
        <v>21</v>
      </c>
    </row>
    <row r="133" spans="1:21">
      <c r="A133">
        <v>7</v>
      </c>
      <c r="B133" t="s">
        <v>22</v>
      </c>
      <c r="C133" s="1">
        <v>45849</v>
      </c>
      <c r="I133">
        <f t="shared" si="14"/>
        <v>0</v>
      </c>
      <c r="J133" t="s">
        <v>14</v>
      </c>
      <c r="L133">
        <v>7</v>
      </c>
      <c r="M133" t="s">
        <v>22</v>
      </c>
      <c r="N133" s="1">
        <v>45850</v>
      </c>
      <c r="T133">
        <f t="shared" si="15"/>
        <v>0</v>
      </c>
      <c r="U133" t="s">
        <v>14</v>
      </c>
    </row>
    <row r="134" spans="1:21">
      <c r="A134">
        <v>8</v>
      </c>
      <c r="B134" t="s">
        <v>23</v>
      </c>
      <c r="C134" s="1">
        <v>45849</v>
      </c>
      <c r="D134">
        <v>11</v>
      </c>
      <c r="E134">
        <v>8</v>
      </c>
      <c r="H134">
        <v>2</v>
      </c>
      <c r="I134">
        <f t="shared" si="14"/>
        <v>21</v>
      </c>
      <c r="J134" t="s">
        <v>12</v>
      </c>
      <c r="L134">
        <v>8</v>
      </c>
      <c r="M134" t="s">
        <v>23</v>
      </c>
      <c r="N134" s="1">
        <v>45850</v>
      </c>
      <c r="T134">
        <f t="shared" si="15"/>
        <v>0</v>
      </c>
      <c r="U134" t="s">
        <v>12</v>
      </c>
    </row>
    <row r="135" spans="1:21">
      <c r="A135">
        <v>9</v>
      </c>
      <c r="B135" t="s">
        <v>24</v>
      </c>
      <c r="C135" s="1">
        <v>45849</v>
      </c>
      <c r="D135">
        <v>47</v>
      </c>
      <c r="E135">
        <v>14</v>
      </c>
      <c r="H135">
        <v>15</v>
      </c>
      <c r="I135">
        <f t="shared" si="14"/>
        <v>76</v>
      </c>
      <c r="J135" t="s">
        <v>25</v>
      </c>
      <c r="L135">
        <v>9</v>
      </c>
      <c r="M135" t="s">
        <v>24</v>
      </c>
      <c r="N135" s="1">
        <v>45850</v>
      </c>
      <c r="O135">
        <v>63</v>
      </c>
      <c r="P135">
        <v>31</v>
      </c>
      <c r="S135">
        <v>12</v>
      </c>
      <c r="T135">
        <f t="shared" si="15"/>
        <v>106</v>
      </c>
      <c r="U135" t="s">
        <v>25</v>
      </c>
    </row>
    <row r="136" spans="1:21">
      <c r="A136">
        <v>10</v>
      </c>
      <c r="B136" t="s">
        <v>26</v>
      </c>
      <c r="C136" s="1">
        <v>45849</v>
      </c>
      <c r="D136">
        <v>133</v>
      </c>
      <c r="E136">
        <v>79</v>
      </c>
      <c r="H136">
        <v>32</v>
      </c>
      <c r="I136">
        <f t="shared" si="14"/>
        <v>244</v>
      </c>
      <c r="J136" t="s">
        <v>16</v>
      </c>
      <c r="L136">
        <v>10</v>
      </c>
      <c r="M136" t="s">
        <v>26</v>
      </c>
      <c r="N136" s="1">
        <v>45850</v>
      </c>
      <c r="O136">
        <v>151</v>
      </c>
      <c r="P136">
        <v>97</v>
      </c>
      <c r="S136">
        <v>23</v>
      </c>
      <c r="T136">
        <f t="shared" si="15"/>
        <v>271</v>
      </c>
      <c r="U136" t="s">
        <v>16</v>
      </c>
    </row>
    <row r="137" spans="1:21">
      <c r="A137">
        <v>11</v>
      </c>
      <c r="B137" t="s">
        <v>27</v>
      </c>
      <c r="C137" s="1">
        <v>45849</v>
      </c>
      <c r="D137">
        <v>8</v>
      </c>
      <c r="E137">
        <v>2</v>
      </c>
      <c r="F137">
        <v>1</v>
      </c>
      <c r="G137">
        <v>2</v>
      </c>
      <c r="H137">
        <v>3</v>
      </c>
      <c r="I137">
        <f t="shared" si="14"/>
        <v>13</v>
      </c>
      <c r="J137" t="s">
        <v>19</v>
      </c>
      <c r="L137">
        <v>11</v>
      </c>
      <c r="M137" t="s">
        <v>27</v>
      </c>
      <c r="N137" s="1">
        <v>45850</v>
      </c>
      <c r="O137">
        <v>4</v>
      </c>
      <c r="P137">
        <v>4</v>
      </c>
      <c r="Q137">
        <v>2</v>
      </c>
      <c r="R137">
        <v>2</v>
      </c>
      <c r="S137">
        <v>4</v>
      </c>
      <c r="T137">
        <f t="shared" si="15"/>
        <v>12</v>
      </c>
      <c r="U137" t="s">
        <v>19</v>
      </c>
    </row>
    <row r="138" spans="1:21">
      <c r="A138">
        <v>12</v>
      </c>
      <c r="B138" t="s">
        <v>28</v>
      </c>
      <c r="C138" s="1">
        <v>45849</v>
      </c>
      <c r="I138">
        <f t="shared" si="14"/>
        <v>0</v>
      </c>
      <c r="J138" t="s">
        <v>25</v>
      </c>
      <c r="L138">
        <v>12</v>
      </c>
      <c r="M138" t="s">
        <v>28</v>
      </c>
      <c r="N138" s="1">
        <v>45850</v>
      </c>
      <c r="T138">
        <f t="shared" si="15"/>
        <v>0</v>
      </c>
      <c r="U138" t="s">
        <v>25</v>
      </c>
    </row>
    <row r="139" spans="1:21">
      <c r="A139">
        <v>13</v>
      </c>
      <c r="B139" t="s">
        <v>29</v>
      </c>
      <c r="C139" s="1">
        <v>45849</v>
      </c>
      <c r="I139">
        <f t="shared" si="14"/>
        <v>0</v>
      </c>
      <c r="J139" t="s">
        <v>30</v>
      </c>
      <c r="L139">
        <v>13</v>
      </c>
      <c r="M139" t="s">
        <v>29</v>
      </c>
      <c r="N139" s="1">
        <v>45850</v>
      </c>
      <c r="T139">
        <f t="shared" si="15"/>
        <v>0</v>
      </c>
      <c r="U139" t="s">
        <v>30</v>
      </c>
    </row>
    <row r="140" spans="1:21">
      <c r="A140">
        <v>14</v>
      </c>
      <c r="B140" t="s">
        <v>31</v>
      </c>
      <c r="C140" s="1">
        <v>45849</v>
      </c>
      <c r="D140">
        <v>23</v>
      </c>
      <c r="E140">
        <v>34</v>
      </c>
      <c r="F140">
        <v>2</v>
      </c>
      <c r="G140">
        <v>1</v>
      </c>
      <c r="H140">
        <v>3</v>
      </c>
      <c r="I140">
        <f t="shared" si="14"/>
        <v>60</v>
      </c>
      <c r="J140" t="s">
        <v>12</v>
      </c>
      <c r="L140">
        <v>14</v>
      </c>
      <c r="M140" t="s">
        <v>31</v>
      </c>
      <c r="N140" s="1">
        <v>45850</v>
      </c>
      <c r="O140">
        <v>15</v>
      </c>
      <c r="P140">
        <v>14</v>
      </c>
      <c r="Q140">
        <v>1</v>
      </c>
      <c r="R140">
        <v>1</v>
      </c>
      <c r="S140">
        <v>2</v>
      </c>
      <c r="T140">
        <f t="shared" si="15"/>
        <v>31</v>
      </c>
      <c r="U140" t="s">
        <v>12</v>
      </c>
    </row>
    <row r="141" spans="1:21">
      <c r="A141">
        <v>15</v>
      </c>
      <c r="B141" t="s">
        <v>32</v>
      </c>
      <c r="C141" s="1">
        <v>45849</v>
      </c>
      <c r="I141">
        <f t="shared" si="14"/>
        <v>0</v>
      </c>
      <c r="J141" t="s">
        <v>33</v>
      </c>
      <c r="L141">
        <v>15</v>
      </c>
      <c r="M141" t="s">
        <v>32</v>
      </c>
      <c r="N141" s="1">
        <v>45850</v>
      </c>
      <c r="T141">
        <f t="shared" si="15"/>
        <v>0</v>
      </c>
      <c r="U141" t="s">
        <v>33</v>
      </c>
    </row>
    <row r="142" spans="1:21">
      <c r="A142">
        <v>16</v>
      </c>
      <c r="B142" t="s">
        <v>34</v>
      </c>
      <c r="C142" s="1">
        <v>45849</v>
      </c>
      <c r="D142">
        <v>26</v>
      </c>
      <c r="E142">
        <v>15</v>
      </c>
      <c r="F142">
        <v>2</v>
      </c>
      <c r="G142">
        <v>2</v>
      </c>
      <c r="H142">
        <v>4</v>
      </c>
      <c r="I142">
        <f t="shared" si="14"/>
        <v>45</v>
      </c>
      <c r="J142" t="s">
        <v>21</v>
      </c>
      <c r="L142">
        <v>16</v>
      </c>
      <c r="M142" t="s">
        <v>34</v>
      </c>
      <c r="N142" s="1">
        <v>45850</v>
      </c>
      <c r="T142">
        <f t="shared" si="15"/>
        <v>0</v>
      </c>
      <c r="U142" t="s">
        <v>21</v>
      </c>
    </row>
    <row r="143" spans="1:21">
      <c r="A143">
        <v>17</v>
      </c>
      <c r="B143" t="s">
        <v>35</v>
      </c>
      <c r="C143" s="1">
        <v>45849</v>
      </c>
      <c r="I143">
        <f t="shared" si="14"/>
        <v>0</v>
      </c>
      <c r="J143" t="s">
        <v>33</v>
      </c>
      <c r="L143">
        <v>17</v>
      </c>
      <c r="M143" t="s">
        <v>35</v>
      </c>
      <c r="N143" s="1">
        <v>45850</v>
      </c>
      <c r="T143">
        <f t="shared" si="15"/>
        <v>0</v>
      </c>
      <c r="U143" t="s">
        <v>33</v>
      </c>
    </row>
    <row r="144" spans="1:21">
      <c r="A144">
        <v>18</v>
      </c>
      <c r="B144" t="s">
        <v>36</v>
      </c>
      <c r="C144" s="1">
        <v>45849</v>
      </c>
      <c r="D144">
        <v>739</v>
      </c>
      <c r="E144">
        <v>766</v>
      </c>
      <c r="H144">
        <v>0</v>
      </c>
      <c r="I144">
        <f t="shared" si="14"/>
        <v>1505</v>
      </c>
      <c r="J144" t="s">
        <v>33</v>
      </c>
      <c r="L144">
        <v>18</v>
      </c>
      <c r="M144" t="s">
        <v>36</v>
      </c>
      <c r="N144" s="1">
        <v>45850</v>
      </c>
      <c r="O144">
        <v>228</v>
      </c>
      <c r="P144">
        <v>236</v>
      </c>
      <c r="S144">
        <v>0</v>
      </c>
      <c r="T144">
        <f t="shared" si="15"/>
        <v>464</v>
      </c>
      <c r="U144" t="s">
        <v>33</v>
      </c>
    </row>
    <row r="145" spans="1:21">
      <c r="A145">
        <v>19</v>
      </c>
      <c r="B145" t="s">
        <v>37</v>
      </c>
      <c r="C145" s="1">
        <v>45849</v>
      </c>
      <c r="I145">
        <f>D145+E145+H145</f>
        <v>0</v>
      </c>
      <c r="L145">
        <v>19</v>
      </c>
      <c r="M145" t="s">
        <v>37</v>
      </c>
      <c r="N145" s="1">
        <v>45850</v>
      </c>
      <c r="T145">
        <f>O145+P145+S145</f>
        <v>0</v>
      </c>
    </row>
    <row r="146" spans="1:21">
      <c r="A146">
        <v>20</v>
      </c>
      <c r="B146" t="s">
        <v>38</v>
      </c>
      <c r="C146" s="1">
        <v>45849</v>
      </c>
      <c r="I146">
        <f t="shared" ref="I146" si="16">D146+E146+H146</f>
        <v>0</v>
      </c>
      <c r="J146" t="s">
        <v>19</v>
      </c>
      <c r="L146">
        <v>20</v>
      </c>
      <c r="M146" t="s">
        <v>38</v>
      </c>
      <c r="N146" s="1">
        <v>45850</v>
      </c>
      <c r="T146">
        <f t="shared" ref="T146" si="17">O146+P146+S146</f>
        <v>0</v>
      </c>
      <c r="U146" t="s">
        <v>19</v>
      </c>
    </row>
    <row r="147" spans="1:21">
      <c r="B147" t="s">
        <v>9</v>
      </c>
      <c r="D147">
        <f>D127+D128+D129+D130+D131+D132+D134+D133+D135+D136+D137+D138+D139+D140+D142+D144</f>
        <v>1390</v>
      </c>
      <c r="E147">
        <f>SUM(E127:E146)</f>
        <v>1448</v>
      </c>
      <c r="I147">
        <f>I127+I128+I129+I130+I131+I132+I133+I134+I135+I136+I137+I138+I139+I140+I141+I142+I143+I144+I145+I146</f>
        <v>3115</v>
      </c>
      <c r="M147" t="s">
        <v>9</v>
      </c>
      <c r="O147">
        <f>O127+O128+O129+O130+O131+O132+O134+O133+O135+O136+O137+O138+O139+O140+O142+O144</f>
        <v>924</v>
      </c>
      <c r="P147">
        <f>SUM(P127:P146)</f>
        <v>930</v>
      </c>
      <c r="T147">
        <f>T127+T128+T129+T130+T131+T132+T133+T134+T135+T136+T137+T138+T139+T140+T141+T142+T143+T144+T145+T146</f>
        <v>2108</v>
      </c>
    </row>
    <row r="150" spans="1:21">
      <c r="B150" t="s">
        <v>0</v>
      </c>
      <c r="C150" t="s">
        <v>51</v>
      </c>
      <c r="M150" t="s">
        <v>0</v>
      </c>
      <c r="N150" t="s">
        <v>52</v>
      </c>
    </row>
    <row r="151" spans="1:21">
      <c r="A151" t="s">
        <v>1</v>
      </c>
      <c r="B151" t="s">
        <v>2</v>
      </c>
      <c r="C151" t="s">
        <v>3</v>
      </c>
      <c r="D151" t="s">
        <v>4</v>
      </c>
      <c r="E151" t="s">
        <v>5</v>
      </c>
      <c r="F151" t="s">
        <v>6</v>
      </c>
      <c r="G151" t="s">
        <v>7</v>
      </c>
      <c r="H151" t="s">
        <v>8</v>
      </c>
      <c r="I151" t="s">
        <v>9</v>
      </c>
      <c r="J151" t="s">
        <v>10</v>
      </c>
      <c r="L151" t="s">
        <v>1</v>
      </c>
      <c r="M151" t="s">
        <v>2</v>
      </c>
      <c r="N151" t="s">
        <v>3</v>
      </c>
      <c r="O151" t="s">
        <v>4</v>
      </c>
      <c r="P151" t="s">
        <v>5</v>
      </c>
      <c r="Q151" t="s">
        <v>6</v>
      </c>
      <c r="R151" t="s">
        <v>7</v>
      </c>
      <c r="S151" t="s">
        <v>8</v>
      </c>
      <c r="T151" t="s">
        <v>9</v>
      </c>
      <c r="U151" t="s">
        <v>10</v>
      </c>
    </row>
    <row r="152" spans="1:21">
      <c r="A152">
        <v>1</v>
      </c>
      <c r="B152" t="s">
        <v>11</v>
      </c>
      <c r="C152" s="1">
        <v>45851</v>
      </c>
      <c r="D152">
        <v>22</v>
      </c>
      <c r="E152">
        <v>15</v>
      </c>
      <c r="F152">
        <v>4</v>
      </c>
      <c r="G152">
        <v>1</v>
      </c>
      <c r="H152">
        <v>5</v>
      </c>
      <c r="I152">
        <f>D152+E152+H152</f>
        <v>42</v>
      </c>
      <c r="J152" t="s">
        <v>12</v>
      </c>
      <c r="L152">
        <v>1</v>
      </c>
      <c r="M152" t="s">
        <v>11</v>
      </c>
      <c r="N152" s="1">
        <v>45852</v>
      </c>
      <c r="O152">
        <v>22</v>
      </c>
      <c r="P152">
        <v>25</v>
      </c>
      <c r="Q152">
        <v>4</v>
      </c>
      <c r="R152">
        <v>3</v>
      </c>
      <c r="S152">
        <v>7</v>
      </c>
      <c r="T152">
        <f>O152+P152+S152</f>
        <v>54</v>
      </c>
      <c r="U152" t="s">
        <v>12</v>
      </c>
    </row>
    <row r="153" spans="1:21">
      <c r="A153">
        <v>2</v>
      </c>
      <c r="B153" t="s">
        <v>13</v>
      </c>
      <c r="C153" s="1">
        <v>45851</v>
      </c>
      <c r="D153">
        <v>12</v>
      </c>
      <c r="E153">
        <v>1</v>
      </c>
      <c r="F153">
        <v>0</v>
      </c>
      <c r="G153">
        <v>0</v>
      </c>
      <c r="H153">
        <v>0</v>
      </c>
      <c r="I153">
        <f>D153+E153+H153</f>
        <v>13</v>
      </c>
      <c r="J153" t="s">
        <v>14</v>
      </c>
      <c r="L153">
        <v>2</v>
      </c>
      <c r="M153" t="s">
        <v>13</v>
      </c>
      <c r="N153" s="1">
        <v>45852</v>
      </c>
      <c r="O153">
        <v>11</v>
      </c>
      <c r="P153">
        <v>5</v>
      </c>
      <c r="Q153">
        <v>0</v>
      </c>
      <c r="R153">
        <v>0</v>
      </c>
      <c r="S153">
        <v>0</v>
      </c>
      <c r="T153">
        <f>O153+P153+S153</f>
        <v>16</v>
      </c>
      <c r="U153" t="s">
        <v>14</v>
      </c>
    </row>
    <row r="154" spans="1:21">
      <c r="A154">
        <v>3</v>
      </c>
      <c r="B154" t="s">
        <v>15</v>
      </c>
      <c r="C154" s="1">
        <v>45851</v>
      </c>
      <c r="D154">
        <v>33</v>
      </c>
      <c r="E154">
        <v>39</v>
      </c>
      <c r="H154">
        <v>0</v>
      </c>
      <c r="I154">
        <f>SUM(D154,E154,H154)</f>
        <v>72</v>
      </c>
      <c r="J154" t="s">
        <v>16</v>
      </c>
      <c r="L154">
        <v>3</v>
      </c>
      <c r="M154" t="s">
        <v>15</v>
      </c>
      <c r="N154" s="1">
        <v>45852</v>
      </c>
      <c r="O154">
        <v>32</v>
      </c>
      <c r="P154">
        <v>26</v>
      </c>
      <c r="S154">
        <v>0</v>
      </c>
      <c r="T154">
        <f>SUM(O154,P154,S154)</f>
        <v>58</v>
      </c>
      <c r="U154" t="s">
        <v>16</v>
      </c>
    </row>
    <row r="155" spans="1:21">
      <c r="A155">
        <v>4</v>
      </c>
      <c r="B155" t="s">
        <v>17</v>
      </c>
      <c r="C155" s="1">
        <v>45851</v>
      </c>
      <c r="D155">
        <v>33</v>
      </c>
      <c r="E155">
        <v>11</v>
      </c>
      <c r="H155">
        <v>5</v>
      </c>
      <c r="I155">
        <f t="shared" ref="I155:I169" si="18">D155+E155+H155</f>
        <v>49</v>
      </c>
      <c r="J155" t="s">
        <v>14</v>
      </c>
      <c r="L155">
        <v>4</v>
      </c>
      <c r="M155" t="s">
        <v>17</v>
      </c>
      <c r="N155" s="1">
        <v>45852</v>
      </c>
      <c r="O155">
        <v>36</v>
      </c>
      <c r="P155">
        <v>9</v>
      </c>
      <c r="S155">
        <v>1</v>
      </c>
      <c r="T155">
        <f t="shared" ref="T155:T169" si="19">O155+P155+S155</f>
        <v>46</v>
      </c>
      <c r="U155" t="s">
        <v>14</v>
      </c>
    </row>
    <row r="156" spans="1:21">
      <c r="A156">
        <v>5</v>
      </c>
      <c r="B156" t="s">
        <v>18</v>
      </c>
      <c r="C156" s="1">
        <v>45851</v>
      </c>
      <c r="I156">
        <f t="shared" si="18"/>
        <v>0</v>
      </c>
      <c r="J156" t="s">
        <v>19</v>
      </c>
      <c r="L156">
        <v>5</v>
      </c>
      <c r="M156" t="s">
        <v>18</v>
      </c>
      <c r="N156" s="1">
        <v>45852</v>
      </c>
      <c r="O156">
        <v>493</v>
      </c>
      <c r="P156">
        <v>936</v>
      </c>
      <c r="S156">
        <v>381</v>
      </c>
      <c r="T156">
        <f t="shared" si="19"/>
        <v>1810</v>
      </c>
      <c r="U156" t="s">
        <v>19</v>
      </c>
    </row>
    <row r="157" spans="1:21">
      <c r="A157">
        <v>6</v>
      </c>
      <c r="B157" t="s">
        <v>20</v>
      </c>
      <c r="C157" s="1">
        <v>45851</v>
      </c>
      <c r="D157">
        <v>96</v>
      </c>
      <c r="E157">
        <v>82</v>
      </c>
      <c r="H157">
        <v>0</v>
      </c>
      <c r="I157">
        <f t="shared" si="18"/>
        <v>178</v>
      </c>
      <c r="J157" t="s">
        <v>21</v>
      </c>
      <c r="L157">
        <v>6</v>
      </c>
      <c r="M157" t="s">
        <v>20</v>
      </c>
      <c r="N157" s="1">
        <v>45852</v>
      </c>
      <c r="O157">
        <v>97</v>
      </c>
      <c r="P157">
        <v>90</v>
      </c>
      <c r="S157">
        <v>0</v>
      </c>
      <c r="T157">
        <f t="shared" si="19"/>
        <v>187</v>
      </c>
      <c r="U157" t="s">
        <v>21</v>
      </c>
    </row>
    <row r="158" spans="1:21">
      <c r="A158">
        <v>7</v>
      </c>
      <c r="B158" t="s">
        <v>22</v>
      </c>
      <c r="C158" s="1">
        <v>45851</v>
      </c>
      <c r="I158">
        <f t="shared" si="18"/>
        <v>0</v>
      </c>
      <c r="J158" t="s">
        <v>14</v>
      </c>
      <c r="L158">
        <v>7</v>
      </c>
      <c r="M158" t="s">
        <v>22</v>
      </c>
      <c r="N158" s="1">
        <v>45852</v>
      </c>
      <c r="O158">
        <v>70</v>
      </c>
      <c r="P158">
        <v>89</v>
      </c>
      <c r="S158">
        <v>0</v>
      </c>
      <c r="T158">
        <f t="shared" si="19"/>
        <v>159</v>
      </c>
      <c r="U158" t="s">
        <v>14</v>
      </c>
    </row>
    <row r="159" spans="1:21">
      <c r="A159">
        <v>8</v>
      </c>
      <c r="B159" t="s">
        <v>23</v>
      </c>
      <c r="C159" s="1">
        <v>45851</v>
      </c>
      <c r="D159">
        <v>126</v>
      </c>
      <c r="E159">
        <v>140</v>
      </c>
      <c r="F159">
        <v>11</v>
      </c>
      <c r="G159">
        <v>12</v>
      </c>
      <c r="H159">
        <v>23</v>
      </c>
      <c r="I159">
        <f t="shared" si="18"/>
        <v>289</v>
      </c>
      <c r="J159" t="s">
        <v>12</v>
      </c>
      <c r="L159">
        <v>8</v>
      </c>
      <c r="M159" t="s">
        <v>23</v>
      </c>
      <c r="N159" s="1">
        <v>45852</v>
      </c>
      <c r="O159">
        <v>187</v>
      </c>
      <c r="P159">
        <v>205</v>
      </c>
      <c r="Q159">
        <v>12</v>
      </c>
      <c r="R159">
        <v>15</v>
      </c>
      <c r="S159">
        <v>27</v>
      </c>
      <c r="T159">
        <f t="shared" si="19"/>
        <v>419</v>
      </c>
      <c r="U159" t="s">
        <v>12</v>
      </c>
    </row>
    <row r="160" spans="1:21">
      <c r="A160">
        <v>9</v>
      </c>
      <c r="B160" t="s">
        <v>24</v>
      </c>
      <c r="C160" s="1">
        <v>45851</v>
      </c>
      <c r="D160">
        <v>57</v>
      </c>
      <c r="E160">
        <v>21</v>
      </c>
      <c r="H160">
        <v>5</v>
      </c>
      <c r="I160">
        <f t="shared" si="18"/>
        <v>83</v>
      </c>
      <c r="J160" t="s">
        <v>25</v>
      </c>
      <c r="L160">
        <v>9</v>
      </c>
      <c r="M160" t="s">
        <v>24</v>
      </c>
      <c r="N160" s="1">
        <v>45852</v>
      </c>
      <c r="O160">
        <v>122</v>
      </c>
      <c r="P160">
        <v>76</v>
      </c>
      <c r="S160">
        <v>17</v>
      </c>
      <c r="T160">
        <f t="shared" si="19"/>
        <v>215</v>
      </c>
      <c r="U160" t="s">
        <v>25</v>
      </c>
    </row>
    <row r="161" spans="1:21">
      <c r="A161">
        <v>10</v>
      </c>
      <c r="B161" t="s">
        <v>26</v>
      </c>
      <c r="C161" s="1">
        <v>45851</v>
      </c>
      <c r="D161">
        <v>84</v>
      </c>
      <c r="E161">
        <v>46</v>
      </c>
      <c r="H161">
        <v>26</v>
      </c>
      <c r="I161">
        <f t="shared" si="18"/>
        <v>156</v>
      </c>
      <c r="J161" t="s">
        <v>16</v>
      </c>
      <c r="L161">
        <v>10</v>
      </c>
      <c r="M161" t="s">
        <v>26</v>
      </c>
      <c r="N161" s="1">
        <v>45852</v>
      </c>
      <c r="O161">
        <v>153</v>
      </c>
      <c r="P161">
        <v>87</v>
      </c>
      <c r="S161">
        <v>24</v>
      </c>
      <c r="T161">
        <f t="shared" si="19"/>
        <v>264</v>
      </c>
      <c r="U161" t="s">
        <v>16</v>
      </c>
    </row>
    <row r="162" spans="1:21">
      <c r="A162">
        <v>11</v>
      </c>
      <c r="B162" t="s">
        <v>27</v>
      </c>
      <c r="C162" s="1">
        <v>45851</v>
      </c>
      <c r="D162">
        <v>9</v>
      </c>
      <c r="E162">
        <v>1</v>
      </c>
      <c r="F162">
        <v>0</v>
      </c>
      <c r="G162">
        <v>0</v>
      </c>
      <c r="H162">
        <v>0</v>
      </c>
      <c r="I162">
        <f t="shared" si="18"/>
        <v>10</v>
      </c>
      <c r="J162" t="s">
        <v>19</v>
      </c>
      <c r="L162">
        <v>11</v>
      </c>
      <c r="M162" t="s">
        <v>27</v>
      </c>
      <c r="N162" s="1">
        <v>45852</v>
      </c>
      <c r="T162">
        <f t="shared" si="19"/>
        <v>0</v>
      </c>
      <c r="U162" t="s">
        <v>19</v>
      </c>
    </row>
    <row r="163" spans="1:21">
      <c r="A163">
        <v>12</v>
      </c>
      <c r="B163" t="s">
        <v>28</v>
      </c>
      <c r="C163" s="1">
        <v>45851</v>
      </c>
      <c r="D163">
        <v>129</v>
      </c>
      <c r="E163">
        <v>119</v>
      </c>
      <c r="F163">
        <v>23</v>
      </c>
      <c r="G163">
        <v>20</v>
      </c>
      <c r="H163">
        <v>43</v>
      </c>
      <c r="I163">
        <f t="shared" si="18"/>
        <v>291</v>
      </c>
      <c r="J163" t="s">
        <v>25</v>
      </c>
      <c r="L163">
        <v>12</v>
      </c>
      <c r="M163" t="s">
        <v>28</v>
      </c>
      <c r="N163" s="1">
        <v>45852</v>
      </c>
      <c r="O163">
        <v>178</v>
      </c>
      <c r="P163">
        <v>172</v>
      </c>
      <c r="Q163">
        <v>20</v>
      </c>
      <c r="R163">
        <v>16</v>
      </c>
      <c r="S163">
        <v>36</v>
      </c>
      <c r="T163">
        <f t="shared" si="19"/>
        <v>386</v>
      </c>
      <c r="U163" t="s">
        <v>25</v>
      </c>
    </row>
    <row r="164" spans="1:21">
      <c r="A164">
        <v>13</v>
      </c>
      <c r="B164" t="s">
        <v>29</v>
      </c>
      <c r="C164" s="1">
        <v>45851</v>
      </c>
      <c r="I164">
        <f t="shared" si="18"/>
        <v>0</v>
      </c>
      <c r="J164" t="s">
        <v>30</v>
      </c>
      <c r="L164">
        <v>13</v>
      </c>
      <c r="M164" t="s">
        <v>29</v>
      </c>
      <c r="N164" s="1">
        <v>45852</v>
      </c>
      <c r="O164">
        <v>121</v>
      </c>
      <c r="P164">
        <v>107</v>
      </c>
      <c r="Q164">
        <v>9</v>
      </c>
      <c r="R164">
        <v>11</v>
      </c>
      <c r="S164">
        <v>20</v>
      </c>
      <c r="T164">
        <f t="shared" si="19"/>
        <v>248</v>
      </c>
      <c r="U164" t="s">
        <v>30</v>
      </c>
    </row>
    <row r="165" spans="1:21">
      <c r="A165">
        <v>14</v>
      </c>
      <c r="B165" t="s">
        <v>31</v>
      </c>
      <c r="C165" s="1">
        <v>45851</v>
      </c>
      <c r="I165">
        <f t="shared" si="18"/>
        <v>0</v>
      </c>
      <c r="J165" t="s">
        <v>12</v>
      </c>
      <c r="L165">
        <v>14</v>
      </c>
      <c r="M165" t="s">
        <v>31</v>
      </c>
      <c r="N165" s="1">
        <v>45852</v>
      </c>
      <c r="O165">
        <v>34</v>
      </c>
      <c r="P165">
        <v>78</v>
      </c>
      <c r="Q165">
        <v>3</v>
      </c>
      <c r="R165">
        <v>2</v>
      </c>
      <c r="S165">
        <v>5</v>
      </c>
      <c r="T165">
        <f t="shared" si="19"/>
        <v>117</v>
      </c>
      <c r="U165" t="s">
        <v>12</v>
      </c>
    </row>
    <row r="166" spans="1:21">
      <c r="A166">
        <v>15</v>
      </c>
      <c r="B166" t="s">
        <v>32</v>
      </c>
      <c r="C166" s="1">
        <v>45851</v>
      </c>
      <c r="I166">
        <f t="shared" si="18"/>
        <v>0</v>
      </c>
      <c r="J166" t="s">
        <v>33</v>
      </c>
      <c r="L166">
        <v>15</v>
      </c>
      <c r="M166" t="s">
        <v>32</v>
      </c>
      <c r="N166" s="1">
        <v>45852</v>
      </c>
      <c r="T166">
        <f t="shared" si="19"/>
        <v>0</v>
      </c>
      <c r="U166" t="s">
        <v>33</v>
      </c>
    </row>
    <row r="167" spans="1:21">
      <c r="A167">
        <v>16</v>
      </c>
      <c r="B167" t="s">
        <v>34</v>
      </c>
      <c r="C167" s="1">
        <v>45851</v>
      </c>
      <c r="I167">
        <f t="shared" si="18"/>
        <v>0</v>
      </c>
      <c r="J167" t="s">
        <v>21</v>
      </c>
      <c r="L167">
        <v>16</v>
      </c>
      <c r="M167" t="s">
        <v>34</v>
      </c>
      <c r="N167" s="1">
        <v>45852</v>
      </c>
      <c r="T167">
        <f t="shared" si="19"/>
        <v>0</v>
      </c>
      <c r="U167" t="s">
        <v>21</v>
      </c>
    </row>
    <row r="168" spans="1:21">
      <c r="A168">
        <v>17</v>
      </c>
      <c r="B168" t="s">
        <v>35</v>
      </c>
      <c r="C168" s="1">
        <v>45851</v>
      </c>
      <c r="I168">
        <f t="shared" si="18"/>
        <v>0</v>
      </c>
      <c r="J168" t="s">
        <v>33</v>
      </c>
      <c r="L168">
        <v>17</v>
      </c>
      <c r="M168" t="s">
        <v>35</v>
      </c>
      <c r="N168" s="1">
        <v>45852</v>
      </c>
      <c r="T168">
        <f t="shared" si="19"/>
        <v>0</v>
      </c>
      <c r="U168" t="s">
        <v>33</v>
      </c>
    </row>
    <row r="169" spans="1:21">
      <c r="A169">
        <v>18</v>
      </c>
      <c r="B169" t="s">
        <v>36</v>
      </c>
      <c r="C169" s="1">
        <v>45851</v>
      </c>
      <c r="I169">
        <f t="shared" si="18"/>
        <v>0</v>
      </c>
      <c r="J169" t="s">
        <v>33</v>
      </c>
      <c r="L169">
        <v>18</v>
      </c>
      <c r="M169" t="s">
        <v>36</v>
      </c>
      <c r="N169" s="1">
        <v>45852</v>
      </c>
      <c r="O169">
        <v>327</v>
      </c>
      <c r="P169">
        <v>331</v>
      </c>
      <c r="S169">
        <v>0</v>
      </c>
      <c r="T169">
        <f t="shared" si="19"/>
        <v>658</v>
      </c>
      <c r="U169" t="s">
        <v>33</v>
      </c>
    </row>
    <row r="170" spans="1:21">
      <c r="A170">
        <v>19</v>
      </c>
      <c r="B170" t="s">
        <v>37</v>
      </c>
      <c r="C170" s="1">
        <v>45851</v>
      </c>
      <c r="I170">
        <f>D170+E170+H170</f>
        <v>0</v>
      </c>
      <c r="L170">
        <v>19</v>
      </c>
      <c r="M170" t="s">
        <v>37</v>
      </c>
      <c r="N170" s="1">
        <v>45852</v>
      </c>
      <c r="T170">
        <f>O170+P170+S170</f>
        <v>0</v>
      </c>
    </row>
    <row r="171" spans="1:21">
      <c r="A171">
        <v>20</v>
      </c>
      <c r="B171" t="s">
        <v>38</v>
      </c>
      <c r="C171" s="1">
        <v>45851</v>
      </c>
      <c r="I171">
        <f t="shared" ref="I171" si="20">D171+E171+H171</f>
        <v>0</v>
      </c>
      <c r="J171" t="s">
        <v>19</v>
      </c>
      <c r="L171">
        <v>20</v>
      </c>
      <c r="M171" t="s">
        <v>38</v>
      </c>
      <c r="N171" s="1">
        <v>45852</v>
      </c>
      <c r="T171">
        <f t="shared" ref="T171" si="21">O171+P171+S171</f>
        <v>0</v>
      </c>
      <c r="U171" t="s">
        <v>19</v>
      </c>
    </row>
    <row r="172" spans="1:21">
      <c r="B172" t="s">
        <v>9</v>
      </c>
      <c r="D172">
        <f>D152+D153+D154+D155+D156+D157+D159+D158+D160+D161+D162+D163+D164+D165+D167+D169</f>
        <v>601</v>
      </c>
      <c r="E172">
        <f>SUM(E152:E171)</f>
        <v>475</v>
      </c>
      <c r="I172">
        <f>I152+I153+I154+I155+I156+I157+I158+I159+I160+I161+I162+I163+I164+I165+I166+I167+I168+I169+I170+I171</f>
        <v>1183</v>
      </c>
      <c r="M172" t="s">
        <v>9</v>
      </c>
      <c r="O172">
        <f>O152+O153+O154+O155+O156+O157+O159+O158+O160+O161+O162+O163+O164+O165+O167+O169</f>
        <v>1883</v>
      </c>
      <c r="P172">
        <f>SUM(P152:P171)</f>
        <v>2236</v>
      </c>
      <c r="T172">
        <f>T152+T153+T154+T155+T156+T157+T158+T159+T160+T161+T162+T163+T164+T165+T166+T167+T168+T169+T170+T171</f>
        <v>4637</v>
      </c>
    </row>
    <row r="175" spans="1:21">
      <c r="B175" t="s">
        <v>0</v>
      </c>
      <c r="C175" t="s">
        <v>53</v>
      </c>
      <c r="M175" t="s">
        <v>0</v>
      </c>
      <c r="N175" t="s">
        <v>54</v>
      </c>
    </row>
    <row r="176" spans="1:21">
      <c r="A176" t="s">
        <v>1</v>
      </c>
      <c r="B176" t="s">
        <v>2</v>
      </c>
      <c r="C176" t="s">
        <v>3</v>
      </c>
      <c r="D176" t="s">
        <v>4</v>
      </c>
      <c r="E176" t="s">
        <v>5</v>
      </c>
      <c r="F176" t="s">
        <v>6</v>
      </c>
      <c r="G176" t="s">
        <v>7</v>
      </c>
      <c r="H176" t="s">
        <v>8</v>
      </c>
      <c r="I176" t="s">
        <v>9</v>
      </c>
      <c r="J176" t="s">
        <v>10</v>
      </c>
      <c r="L176" t="s">
        <v>1</v>
      </c>
      <c r="M176" t="s">
        <v>2</v>
      </c>
      <c r="N176" t="s">
        <v>3</v>
      </c>
      <c r="O176" t="s">
        <v>4</v>
      </c>
      <c r="P176" t="s">
        <v>5</v>
      </c>
      <c r="Q176" t="s">
        <v>6</v>
      </c>
      <c r="R176" t="s">
        <v>7</v>
      </c>
      <c r="S176" t="s">
        <v>8</v>
      </c>
      <c r="T176" t="s">
        <v>9</v>
      </c>
      <c r="U176" t="s">
        <v>10</v>
      </c>
    </row>
    <row r="177" spans="1:21">
      <c r="A177">
        <v>1</v>
      </c>
      <c r="B177" t="s">
        <v>11</v>
      </c>
      <c r="C177" s="1">
        <v>45853</v>
      </c>
      <c r="D177">
        <v>29</v>
      </c>
      <c r="E177">
        <v>30</v>
      </c>
      <c r="F177">
        <v>6</v>
      </c>
      <c r="G177">
        <v>5</v>
      </c>
      <c r="I177">
        <f>D177+E177+H177</f>
        <v>59</v>
      </c>
      <c r="J177" t="s">
        <v>12</v>
      </c>
      <c r="L177">
        <v>1</v>
      </c>
      <c r="M177" t="s">
        <v>11</v>
      </c>
      <c r="N177" s="1">
        <v>45854</v>
      </c>
      <c r="O177">
        <v>18</v>
      </c>
      <c r="P177">
        <v>10</v>
      </c>
      <c r="Q177">
        <v>0</v>
      </c>
      <c r="R177">
        <v>0</v>
      </c>
      <c r="S177">
        <v>0</v>
      </c>
      <c r="T177">
        <f>O177+P177+S177</f>
        <v>28</v>
      </c>
      <c r="U177" t="s">
        <v>12</v>
      </c>
    </row>
    <row r="178" spans="1:21">
      <c r="A178">
        <v>2</v>
      </c>
      <c r="B178" t="s">
        <v>13</v>
      </c>
      <c r="C178" s="1">
        <v>45853</v>
      </c>
      <c r="D178">
        <v>15</v>
      </c>
      <c r="E178">
        <v>7</v>
      </c>
      <c r="F178">
        <v>3</v>
      </c>
      <c r="G178">
        <v>3</v>
      </c>
      <c r="H178">
        <v>6</v>
      </c>
      <c r="I178">
        <f>D178+E178+H178</f>
        <v>28</v>
      </c>
      <c r="J178" t="s">
        <v>14</v>
      </c>
      <c r="L178">
        <v>2</v>
      </c>
      <c r="M178" t="s">
        <v>13</v>
      </c>
      <c r="N178" s="1">
        <v>45854</v>
      </c>
      <c r="O178">
        <v>13</v>
      </c>
      <c r="P178">
        <v>4</v>
      </c>
      <c r="Q178">
        <v>0</v>
      </c>
      <c r="R178">
        <v>0</v>
      </c>
      <c r="S178">
        <v>0</v>
      </c>
      <c r="T178">
        <f>O178+P178+S178</f>
        <v>17</v>
      </c>
      <c r="U178" t="s">
        <v>14</v>
      </c>
    </row>
    <row r="179" spans="1:21">
      <c r="A179">
        <v>3</v>
      </c>
      <c r="B179" t="s">
        <v>15</v>
      </c>
      <c r="C179" s="1">
        <v>45853</v>
      </c>
      <c r="D179">
        <v>40</v>
      </c>
      <c r="E179">
        <v>42</v>
      </c>
      <c r="H179">
        <v>0</v>
      </c>
      <c r="I179">
        <f>SUM(D179,E179,H179)</f>
        <v>82</v>
      </c>
      <c r="J179" t="s">
        <v>16</v>
      </c>
      <c r="L179">
        <v>3</v>
      </c>
      <c r="M179" t="s">
        <v>15</v>
      </c>
      <c r="N179" s="1">
        <v>45854</v>
      </c>
      <c r="O179">
        <v>40</v>
      </c>
      <c r="P179">
        <v>34</v>
      </c>
      <c r="S179">
        <v>0</v>
      </c>
      <c r="T179">
        <f>SUM(O179,P179,S179)</f>
        <v>74</v>
      </c>
      <c r="U179" t="s">
        <v>16</v>
      </c>
    </row>
    <row r="180" spans="1:21">
      <c r="A180">
        <v>4</v>
      </c>
      <c r="B180" t="s">
        <v>17</v>
      </c>
      <c r="C180" s="1">
        <v>45853</v>
      </c>
      <c r="D180">
        <v>29</v>
      </c>
      <c r="E180">
        <v>7</v>
      </c>
      <c r="F180">
        <v>0</v>
      </c>
      <c r="G180">
        <v>0</v>
      </c>
      <c r="H180">
        <v>0</v>
      </c>
      <c r="I180">
        <f t="shared" ref="I180:I194" si="22">D180+E180+H180</f>
        <v>36</v>
      </c>
      <c r="J180" t="s">
        <v>14</v>
      </c>
      <c r="L180">
        <v>4</v>
      </c>
      <c r="M180" t="s">
        <v>17</v>
      </c>
      <c r="N180" s="1">
        <v>45854</v>
      </c>
      <c r="O180">
        <v>31</v>
      </c>
      <c r="P180">
        <v>6</v>
      </c>
      <c r="S180">
        <v>8</v>
      </c>
      <c r="T180">
        <f t="shared" ref="T180:T194" si="23">O180+P180+S180</f>
        <v>45</v>
      </c>
      <c r="U180" t="s">
        <v>14</v>
      </c>
    </row>
    <row r="181" spans="1:21">
      <c r="A181">
        <v>5</v>
      </c>
      <c r="B181" t="s">
        <v>18</v>
      </c>
      <c r="C181" s="1">
        <v>45853</v>
      </c>
      <c r="D181">
        <v>328</v>
      </c>
      <c r="E181">
        <v>559</v>
      </c>
      <c r="H181">
        <v>206</v>
      </c>
      <c r="I181">
        <f t="shared" si="22"/>
        <v>1093</v>
      </c>
      <c r="J181" t="s">
        <v>19</v>
      </c>
      <c r="L181">
        <v>5</v>
      </c>
      <c r="M181" t="s">
        <v>18</v>
      </c>
      <c r="N181" s="1">
        <v>45854</v>
      </c>
      <c r="O181">
        <v>402</v>
      </c>
      <c r="P181">
        <v>763</v>
      </c>
      <c r="S181">
        <v>198</v>
      </c>
      <c r="T181">
        <f t="shared" si="23"/>
        <v>1363</v>
      </c>
      <c r="U181" t="s">
        <v>19</v>
      </c>
    </row>
    <row r="182" spans="1:21">
      <c r="A182">
        <v>6</v>
      </c>
      <c r="B182" t="s">
        <v>20</v>
      </c>
      <c r="C182" s="1">
        <v>45853</v>
      </c>
      <c r="D182">
        <v>214</v>
      </c>
      <c r="E182">
        <v>111</v>
      </c>
      <c r="H182">
        <v>0</v>
      </c>
      <c r="I182">
        <f t="shared" si="22"/>
        <v>325</v>
      </c>
      <c r="J182" t="s">
        <v>21</v>
      </c>
      <c r="L182">
        <v>6</v>
      </c>
      <c r="M182" t="s">
        <v>20</v>
      </c>
      <c r="N182" s="1">
        <v>45854</v>
      </c>
      <c r="O182">
        <v>141</v>
      </c>
      <c r="P182">
        <v>69</v>
      </c>
      <c r="S182">
        <v>26</v>
      </c>
      <c r="T182">
        <f t="shared" si="23"/>
        <v>236</v>
      </c>
      <c r="U182" t="s">
        <v>21</v>
      </c>
    </row>
    <row r="183" spans="1:21">
      <c r="A183">
        <v>7</v>
      </c>
      <c r="B183" t="s">
        <v>22</v>
      </c>
      <c r="C183" s="1">
        <v>45853</v>
      </c>
      <c r="I183">
        <f t="shared" si="22"/>
        <v>0</v>
      </c>
      <c r="J183" t="s">
        <v>14</v>
      </c>
      <c r="L183">
        <v>7</v>
      </c>
      <c r="M183" t="s">
        <v>22</v>
      </c>
      <c r="N183" s="1">
        <v>45854</v>
      </c>
      <c r="O183">
        <v>68</v>
      </c>
      <c r="P183">
        <v>48</v>
      </c>
      <c r="S183">
        <v>0</v>
      </c>
      <c r="T183">
        <f t="shared" si="23"/>
        <v>116</v>
      </c>
      <c r="U183" t="s">
        <v>14</v>
      </c>
    </row>
    <row r="184" spans="1:21">
      <c r="A184">
        <v>8</v>
      </c>
      <c r="B184" t="s">
        <v>23</v>
      </c>
      <c r="C184" s="1">
        <v>45853</v>
      </c>
      <c r="D184">
        <v>15</v>
      </c>
      <c r="E184">
        <v>13</v>
      </c>
      <c r="H184">
        <v>1</v>
      </c>
      <c r="I184">
        <f t="shared" si="22"/>
        <v>29</v>
      </c>
      <c r="J184" t="s">
        <v>12</v>
      </c>
      <c r="L184">
        <v>8</v>
      </c>
      <c r="M184" t="s">
        <v>23</v>
      </c>
      <c r="N184" s="1">
        <v>45854</v>
      </c>
      <c r="O184">
        <v>144</v>
      </c>
      <c r="P184">
        <v>160</v>
      </c>
      <c r="Q184">
        <v>11</v>
      </c>
      <c r="R184">
        <v>12</v>
      </c>
      <c r="S184">
        <v>23</v>
      </c>
      <c r="T184">
        <f t="shared" si="23"/>
        <v>327</v>
      </c>
      <c r="U184" t="s">
        <v>12</v>
      </c>
    </row>
    <row r="185" spans="1:21">
      <c r="A185">
        <v>9</v>
      </c>
      <c r="B185" t="s">
        <v>24</v>
      </c>
      <c r="C185" s="1">
        <v>45853</v>
      </c>
      <c r="D185">
        <v>80</v>
      </c>
      <c r="E185">
        <v>19</v>
      </c>
      <c r="H185">
        <v>4</v>
      </c>
      <c r="I185">
        <f t="shared" si="22"/>
        <v>103</v>
      </c>
      <c r="J185" t="s">
        <v>25</v>
      </c>
      <c r="L185">
        <v>9</v>
      </c>
      <c r="M185" t="s">
        <v>24</v>
      </c>
      <c r="N185" s="1">
        <v>45854</v>
      </c>
      <c r="O185">
        <v>62</v>
      </c>
      <c r="P185">
        <v>17</v>
      </c>
      <c r="S185">
        <v>6</v>
      </c>
      <c r="T185">
        <f t="shared" si="23"/>
        <v>85</v>
      </c>
      <c r="U185" t="s">
        <v>25</v>
      </c>
    </row>
    <row r="186" spans="1:21">
      <c r="A186">
        <v>10</v>
      </c>
      <c r="B186" t="s">
        <v>26</v>
      </c>
      <c r="C186" s="1">
        <v>45853</v>
      </c>
      <c r="D186">
        <v>158</v>
      </c>
      <c r="E186">
        <v>119</v>
      </c>
      <c r="H186">
        <v>40</v>
      </c>
      <c r="I186">
        <f t="shared" si="22"/>
        <v>317</v>
      </c>
      <c r="J186" t="s">
        <v>16</v>
      </c>
      <c r="L186">
        <v>10</v>
      </c>
      <c r="M186" t="s">
        <v>26</v>
      </c>
      <c r="N186" s="1">
        <v>45854</v>
      </c>
      <c r="O186">
        <v>129</v>
      </c>
      <c r="P186">
        <v>72</v>
      </c>
      <c r="S186">
        <v>24</v>
      </c>
      <c r="T186">
        <f t="shared" si="23"/>
        <v>225</v>
      </c>
      <c r="U186" t="s">
        <v>16</v>
      </c>
    </row>
    <row r="187" spans="1:21">
      <c r="A187">
        <v>11</v>
      </c>
      <c r="B187" t="s">
        <v>27</v>
      </c>
      <c r="C187" s="1">
        <v>45853</v>
      </c>
      <c r="D187">
        <v>5</v>
      </c>
      <c r="E187">
        <v>2</v>
      </c>
      <c r="F187">
        <v>0</v>
      </c>
      <c r="G187">
        <v>0</v>
      </c>
      <c r="H187">
        <v>0</v>
      </c>
      <c r="I187">
        <f t="shared" si="22"/>
        <v>7</v>
      </c>
      <c r="J187" t="s">
        <v>19</v>
      </c>
      <c r="L187">
        <v>11</v>
      </c>
      <c r="M187" t="s">
        <v>27</v>
      </c>
      <c r="N187" s="1">
        <v>45854</v>
      </c>
      <c r="T187">
        <f t="shared" si="23"/>
        <v>0</v>
      </c>
      <c r="U187" t="s">
        <v>19</v>
      </c>
    </row>
    <row r="188" spans="1:21">
      <c r="A188">
        <v>12</v>
      </c>
      <c r="B188" t="s">
        <v>28</v>
      </c>
      <c r="C188" s="1">
        <v>45853</v>
      </c>
      <c r="I188">
        <f t="shared" si="22"/>
        <v>0</v>
      </c>
      <c r="J188" t="s">
        <v>25</v>
      </c>
      <c r="L188">
        <v>12</v>
      </c>
      <c r="M188" t="s">
        <v>28</v>
      </c>
      <c r="N188" s="1">
        <v>45854</v>
      </c>
      <c r="T188">
        <f t="shared" si="23"/>
        <v>0</v>
      </c>
      <c r="U188" t="s">
        <v>25</v>
      </c>
    </row>
    <row r="189" spans="1:21">
      <c r="A189">
        <v>13</v>
      </c>
      <c r="B189" t="s">
        <v>29</v>
      </c>
      <c r="C189" s="1">
        <v>45853</v>
      </c>
      <c r="D189">
        <v>119</v>
      </c>
      <c r="E189">
        <v>136</v>
      </c>
      <c r="F189">
        <v>6</v>
      </c>
      <c r="G189">
        <v>8</v>
      </c>
      <c r="H189">
        <v>14</v>
      </c>
      <c r="I189">
        <f t="shared" si="22"/>
        <v>269</v>
      </c>
      <c r="J189" t="s">
        <v>30</v>
      </c>
      <c r="L189">
        <v>13</v>
      </c>
      <c r="M189" t="s">
        <v>29</v>
      </c>
      <c r="N189" s="1">
        <v>45854</v>
      </c>
      <c r="T189">
        <f t="shared" si="23"/>
        <v>0</v>
      </c>
      <c r="U189" t="s">
        <v>30</v>
      </c>
    </row>
    <row r="190" spans="1:21">
      <c r="A190">
        <v>14</v>
      </c>
      <c r="B190" t="s">
        <v>31</v>
      </c>
      <c r="C190" s="1">
        <v>45853</v>
      </c>
      <c r="D190">
        <v>30</v>
      </c>
      <c r="E190">
        <v>38</v>
      </c>
      <c r="F190">
        <v>5</v>
      </c>
      <c r="G190">
        <v>5</v>
      </c>
      <c r="H190">
        <v>10</v>
      </c>
      <c r="I190">
        <f t="shared" si="22"/>
        <v>78</v>
      </c>
      <c r="J190" t="s">
        <v>12</v>
      </c>
      <c r="L190">
        <v>14</v>
      </c>
      <c r="M190" t="s">
        <v>31</v>
      </c>
      <c r="N190" s="1">
        <v>45854</v>
      </c>
      <c r="O190">
        <v>27</v>
      </c>
      <c r="P190">
        <v>41</v>
      </c>
      <c r="Q190">
        <v>0</v>
      </c>
      <c r="R190">
        <v>1</v>
      </c>
      <c r="S190">
        <v>1</v>
      </c>
      <c r="T190">
        <f t="shared" si="23"/>
        <v>69</v>
      </c>
      <c r="U190" t="s">
        <v>12</v>
      </c>
    </row>
    <row r="191" spans="1:21">
      <c r="A191">
        <v>15</v>
      </c>
      <c r="B191" t="s">
        <v>32</v>
      </c>
      <c r="C191" s="1">
        <v>45853</v>
      </c>
      <c r="I191">
        <f t="shared" si="22"/>
        <v>0</v>
      </c>
      <c r="J191" t="s">
        <v>33</v>
      </c>
      <c r="L191">
        <v>15</v>
      </c>
      <c r="M191" t="s">
        <v>32</v>
      </c>
      <c r="N191" s="1">
        <v>45854</v>
      </c>
      <c r="T191">
        <f t="shared" si="23"/>
        <v>0</v>
      </c>
      <c r="U191" t="s">
        <v>33</v>
      </c>
    </row>
    <row r="192" spans="1:21">
      <c r="A192">
        <v>16</v>
      </c>
      <c r="B192" t="s">
        <v>34</v>
      </c>
      <c r="C192" s="1">
        <v>45853</v>
      </c>
      <c r="D192">
        <v>17</v>
      </c>
      <c r="E192">
        <v>11</v>
      </c>
      <c r="F192">
        <v>1</v>
      </c>
      <c r="G192">
        <v>2</v>
      </c>
      <c r="H192">
        <v>3</v>
      </c>
      <c r="I192">
        <f t="shared" si="22"/>
        <v>31</v>
      </c>
      <c r="J192" t="s">
        <v>21</v>
      </c>
      <c r="L192">
        <v>16</v>
      </c>
      <c r="M192" t="s">
        <v>34</v>
      </c>
      <c r="N192" s="1">
        <v>45854</v>
      </c>
      <c r="O192">
        <v>14</v>
      </c>
      <c r="P192">
        <v>13</v>
      </c>
      <c r="Q192">
        <v>0</v>
      </c>
      <c r="R192">
        <v>1</v>
      </c>
      <c r="S192">
        <v>1</v>
      </c>
      <c r="T192">
        <f t="shared" si="23"/>
        <v>28</v>
      </c>
      <c r="U192" t="s">
        <v>21</v>
      </c>
    </row>
    <row r="193" spans="1:21">
      <c r="A193">
        <v>17</v>
      </c>
      <c r="B193" t="s">
        <v>35</v>
      </c>
      <c r="C193" s="1">
        <v>45853</v>
      </c>
      <c r="I193">
        <f t="shared" si="22"/>
        <v>0</v>
      </c>
      <c r="J193" t="s">
        <v>33</v>
      </c>
      <c r="L193">
        <v>17</v>
      </c>
      <c r="M193" t="s">
        <v>35</v>
      </c>
      <c r="N193" s="1">
        <v>45854</v>
      </c>
      <c r="T193">
        <f t="shared" si="23"/>
        <v>0</v>
      </c>
      <c r="U193" t="s">
        <v>33</v>
      </c>
    </row>
    <row r="194" spans="1:21">
      <c r="A194">
        <v>18</v>
      </c>
      <c r="B194" t="s">
        <v>36</v>
      </c>
      <c r="C194" s="1">
        <v>45853</v>
      </c>
      <c r="D194">
        <v>327</v>
      </c>
      <c r="E194">
        <v>331</v>
      </c>
      <c r="H194">
        <v>0</v>
      </c>
      <c r="I194">
        <f t="shared" si="22"/>
        <v>658</v>
      </c>
      <c r="J194" t="s">
        <v>33</v>
      </c>
      <c r="L194">
        <v>18</v>
      </c>
      <c r="M194" t="s">
        <v>36</v>
      </c>
      <c r="N194" s="1">
        <v>45854</v>
      </c>
      <c r="T194">
        <f t="shared" si="23"/>
        <v>0</v>
      </c>
      <c r="U194" t="s">
        <v>33</v>
      </c>
    </row>
    <row r="195" spans="1:21">
      <c r="A195">
        <v>19</v>
      </c>
      <c r="B195" t="s">
        <v>37</v>
      </c>
      <c r="C195" s="1">
        <v>45853</v>
      </c>
      <c r="I195">
        <f>D195+E195+H195</f>
        <v>0</v>
      </c>
      <c r="L195">
        <v>19</v>
      </c>
      <c r="M195" t="s">
        <v>37</v>
      </c>
      <c r="N195" s="1">
        <v>45854</v>
      </c>
      <c r="T195">
        <f>O195+P195+S195</f>
        <v>0</v>
      </c>
    </row>
    <row r="196" spans="1:21">
      <c r="A196">
        <v>20</v>
      </c>
      <c r="B196" t="s">
        <v>38</v>
      </c>
      <c r="C196" s="1">
        <v>45853</v>
      </c>
      <c r="I196">
        <f t="shared" ref="I196" si="24">D196+E196+H196</f>
        <v>0</v>
      </c>
      <c r="J196" t="s">
        <v>19</v>
      </c>
      <c r="L196">
        <v>20</v>
      </c>
      <c r="M196" t="s">
        <v>38</v>
      </c>
      <c r="N196" s="1">
        <v>45854</v>
      </c>
      <c r="T196">
        <f t="shared" ref="T196" si="25">O196+P196+S196</f>
        <v>0</v>
      </c>
      <c r="U196" t="s">
        <v>19</v>
      </c>
    </row>
    <row r="197" spans="1:21">
      <c r="B197" t="s">
        <v>9</v>
      </c>
      <c r="D197">
        <f>D177+D178+D179+D180+D181+D182+D184+D183+D185+D186+D187+D188+D189+D190+D192+D194</f>
        <v>1406</v>
      </c>
      <c r="E197">
        <f>SUM(E177:E196)</f>
        <v>1425</v>
      </c>
      <c r="I197">
        <f>I177+I178+I179+I180+I181+I182+I183+I184+I185+I186+I187+I188+I189+I190+I191+I192+I193+I194+I195+I196</f>
        <v>3115</v>
      </c>
      <c r="M197" t="s">
        <v>9</v>
      </c>
      <c r="O197">
        <f>O177+O178+O179+O180+O181+O182+O184+O183+O185+O186+O187+O188+O189+O190+O192+O194</f>
        <v>1089</v>
      </c>
      <c r="P197">
        <f>SUM(P177:P196)</f>
        <v>1237</v>
      </c>
      <c r="T197">
        <f>T177+T178+T179+T180+T181+T182+T183+T184+T185+T186+T187+T188+T189+T190+T191+T192+T193+T194+T195+T196</f>
        <v>2613</v>
      </c>
    </row>
    <row r="200" spans="1:21">
      <c r="B200" t="s">
        <v>0</v>
      </c>
      <c r="C200" t="s">
        <v>55</v>
      </c>
      <c r="M200" t="s">
        <v>0</v>
      </c>
      <c r="N200" t="s">
        <v>56</v>
      </c>
    </row>
    <row r="201" spans="1:21">
      <c r="A201" t="s">
        <v>1</v>
      </c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  <c r="L201" t="s">
        <v>1</v>
      </c>
      <c r="M201" t="s">
        <v>2</v>
      </c>
      <c r="N201" t="s">
        <v>3</v>
      </c>
      <c r="O201" t="s">
        <v>4</v>
      </c>
      <c r="P201" t="s">
        <v>5</v>
      </c>
      <c r="Q201" t="s">
        <v>6</v>
      </c>
      <c r="R201" t="s">
        <v>7</v>
      </c>
      <c r="S201" t="s">
        <v>8</v>
      </c>
      <c r="T201" t="s">
        <v>9</v>
      </c>
      <c r="U201" t="s">
        <v>10</v>
      </c>
    </row>
    <row r="202" spans="1:21">
      <c r="A202">
        <v>1</v>
      </c>
      <c r="B202" t="s">
        <v>11</v>
      </c>
      <c r="C202" s="1">
        <v>45855</v>
      </c>
      <c r="I202">
        <f>D202+E202+H202</f>
        <v>0</v>
      </c>
      <c r="J202" t="s">
        <v>12</v>
      </c>
      <c r="L202">
        <v>1</v>
      </c>
      <c r="M202" t="s">
        <v>11</v>
      </c>
      <c r="N202" s="1">
        <v>45856</v>
      </c>
      <c r="O202">
        <v>37</v>
      </c>
      <c r="P202">
        <v>36</v>
      </c>
      <c r="Q202">
        <v>5</v>
      </c>
      <c r="R202">
        <v>5</v>
      </c>
      <c r="S202">
        <v>10</v>
      </c>
      <c r="T202">
        <f>O202+P202+S202</f>
        <v>83</v>
      </c>
      <c r="U202" t="s">
        <v>12</v>
      </c>
    </row>
    <row r="203" spans="1:21">
      <c r="A203">
        <v>2</v>
      </c>
      <c r="B203" t="s">
        <v>13</v>
      </c>
      <c r="C203" s="1">
        <v>45855</v>
      </c>
      <c r="D203">
        <v>14</v>
      </c>
      <c r="E203">
        <v>7</v>
      </c>
      <c r="F203">
        <v>0</v>
      </c>
      <c r="G203">
        <v>0</v>
      </c>
      <c r="H203">
        <v>0</v>
      </c>
      <c r="I203">
        <f>D203+E203+H203</f>
        <v>21</v>
      </c>
      <c r="J203" t="s">
        <v>14</v>
      </c>
      <c r="L203">
        <v>2</v>
      </c>
      <c r="M203" t="s">
        <v>13</v>
      </c>
      <c r="N203" s="1">
        <v>45856</v>
      </c>
      <c r="O203">
        <v>13</v>
      </c>
      <c r="P203">
        <v>10</v>
      </c>
      <c r="Q203">
        <v>4</v>
      </c>
      <c r="R203">
        <v>3</v>
      </c>
      <c r="S203">
        <v>7</v>
      </c>
      <c r="T203">
        <f>O203+P203+S203</f>
        <v>30</v>
      </c>
      <c r="U203" t="s">
        <v>14</v>
      </c>
    </row>
    <row r="204" spans="1:21">
      <c r="A204">
        <v>3</v>
      </c>
      <c r="B204" t="s">
        <v>15</v>
      </c>
      <c r="C204" s="1">
        <v>45855</v>
      </c>
      <c r="D204">
        <v>44</v>
      </c>
      <c r="E204">
        <v>45</v>
      </c>
      <c r="H204">
        <v>0</v>
      </c>
      <c r="I204">
        <f>SUM(D204,E204,H204)</f>
        <v>89</v>
      </c>
      <c r="J204" t="s">
        <v>16</v>
      </c>
      <c r="L204">
        <v>3</v>
      </c>
      <c r="M204" t="s">
        <v>15</v>
      </c>
      <c r="N204" s="1">
        <v>45856</v>
      </c>
      <c r="O204">
        <v>33</v>
      </c>
      <c r="P204">
        <v>28</v>
      </c>
      <c r="S204">
        <v>0</v>
      </c>
      <c r="T204">
        <f>SUM(O204,P204,S204)</f>
        <v>61</v>
      </c>
      <c r="U204" t="s">
        <v>16</v>
      </c>
    </row>
    <row r="205" spans="1:21">
      <c r="A205">
        <v>4</v>
      </c>
      <c r="B205" t="s">
        <v>17</v>
      </c>
      <c r="C205" s="1">
        <v>45855</v>
      </c>
      <c r="D205">
        <v>70</v>
      </c>
      <c r="E205">
        <v>5</v>
      </c>
      <c r="F205">
        <v>0</v>
      </c>
      <c r="G205">
        <v>0</v>
      </c>
      <c r="H205">
        <v>0</v>
      </c>
      <c r="I205">
        <f t="shared" ref="I205:I219" si="26">D205+E205+H205</f>
        <v>75</v>
      </c>
      <c r="J205" t="s">
        <v>14</v>
      </c>
      <c r="L205">
        <v>4</v>
      </c>
      <c r="M205" t="s">
        <v>17</v>
      </c>
      <c r="N205" s="1">
        <v>45856</v>
      </c>
      <c r="O205">
        <v>22</v>
      </c>
      <c r="P205">
        <v>10</v>
      </c>
      <c r="S205">
        <v>0</v>
      </c>
      <c r="T205">
        <f t="shared" ref="T205:T219" si="27">O205+P205+S205</f>
        <v>32</v>
      </c>
      <c r="U205" t="s">
        <v>14</v>
      </c>
    </row>
    <row r="206" spans="1:21">
      <c r="A206">
        <v>5</v>
      </c>
      <c r="B206" t="s">
        <v>18</v>
      </c>
      <c r="C206" s="1">
        <v>45855</v>
      </c>
      <c r="D206">
        <v>199</v>
      </c>
      <c r="E206">
        <v>396</v>
      </c>
      <c r="H206">
        <v>110</v>
      </c>
      <c r="I206">
        <f t="shared" si="26"/>
        <v>705</v>
      </c>
      <c r="J206" t="s">
        <v>19</v>
      </c>
      <c r="L206">
        <v>5</v>
      </c>
      <c r="M206" t="s">
        <v>18</v>
      </c>
      <c r="N206" s="1">
        <v>45856</v>
      </c>
      <c r="O206">
        <v>190</v>
      </c>
      <c r="P206">
        <v>310</v>
      </c>
      <c r="S206">
        <v>99</v>
      </c>
      <c r="T206">
        <f t="shared" si="27"/>
        <v>599</v>
      </c>
      <c r="U206" t="s">
        <v>19</v>
      </c>
    </row>
    <row r="207" spans="1:21">
      <c r="A207">
        <v>6</v>
      </c>
      <c r="B207" t="s">
        <v>20</v>
      </c>
      <c r="C207" s="1">
        <v>45855</v>
      </c>
      <c r="D207">
        <v>63</v>
      </c>
      <c r="E207">
        <v>52</v>
      </c>
      <c r="H207">
        <v>0</v>
      </c>
      <c r="I207">
        <f t="shared" si="26"/>
        <v>115</v>
      </c>
      <c r="J207" t="s">
        <v>21</v>
      </c>
      <c r="L207">
        <v>6</v>
      </c>
      <c r="M207" t="s">
        <v>20</v>
      </c>
      <c r="N207" s="1">
        <v>45856</v>
      </c>
      <c r="O207">
        <v>69</v>
      </c>
      <c r="P207">
        <v>79</v>
      </c>
      <c r="S207">
        <v>0</v>
      </c>
      <c r="T207">
        <f t="shared" si="27"/>
        <v>148</v>
      </c>
      <c r="U207" t="s">
        <v>21</v>
      </c>
    </row>
    <row r="208" spans="1:21">
      <c r="A208">
        <v>7</v>
      </c>
      <c r="B208" t="s">
        <v>22</v>
      </c>
      <c r="C208" s="1">
        <v>45855</v>
      </c>
      <c r="I208">
        <f t="shared" si="26"/>
        <v>0</v>
      </c>
      <c r="J208" t="s">
        <v>14</v>
      </c>
      <c r="L208">
        <v>7</v>
      </c>
      <c r="M208" t="s">
        <v>22</v>
      </c>
      <c r="N208" s="1">
        <v>45856</v>
      </c>
      <c r="T208">
        <f t="shared" si="27"/>
        <v>0</v>
      </c>
      <c r="U208" t="s">
        <v>14</v>
      </c>
    </row>
    <row r="209" spans="1:21">
      <c r="A209">
        <v>8</v>
      </c>
      <c r="B209" t="s">
        <v>23</v>
      </c>
      <c r="C209" s="1">
        <v>45855</v>
      </c>
      <c r="I209">
        <f t="shared" si="26"/>
        <v>0</v>
      </c>
      <c r="J209" t="s">
        <v>12</v>
      </c>
      <c r="L209">
        <v>8</v>
      </c>
      <c r="M209" t="s">
        <v>23</v>
      </c>
      <c r="N209" s="1">
        <v>45856</v>
      </c>
      <c r="O209">
        <v>130</v>
      </c>
      <c r="P209">
        <v>151</v>
      </c>
      <c r="Q209">
        <v>9</v>
      </c>
      <c r="R209">
        <v>15</v>
      </c>
      <c r="S209">
        <v>24</v>
      </c>
      <c r="T209">
        <f t="shared" si="27"/>
        <v>305</v>
      </c>
      <c r="U209" t="s">
        <v>12</v>
      </c>
    </row>
    <row r="210" spans="1:21">
      <c r="A210">
        <v>9</v>
      </c>
      <c r="B210" t="s">
        <v>24</v>
      </c>
      <c r="C210" s="1">
        <v>45855</v>
      </c>
      <c r="D210">
        <v>61</v>
      </c>
      <c r="E210">
        <v>15</v>
      </c>
      <c r="H210">
        <v>4</v>
      </c>
      <c r="I210">
        <f t="shared" si="26"/>
        <v>80</v>
      </c>
      <c r="J210" t="s">
        <v>25</v>
      </c>
      <c r="L210">
        <v>9</v>
      </c>
      <c r="M210" t="s">
        <v>24</v>
      </c>
      <c r="N210" s="1">
        <v>45856</v>
      </c>
      <c r="O210">
        <v>36</v>
      </c>
      <c r="P210">
        <v>15</v>
      </c>
      <c r="S210">
        <v>6</v>
      </c>
      <c r="T210">
        <f t="shared" si="27"/>
        <v>57</v>
      </c>
      <c r="U210" t="s">
        <v>25</v>
      </c>
    </row>
    <row r="211" spans="1:21">
      <c r="A211">
        <v>10</v>
      </c>
      <c r="B211" t="s">
        <v>26</v>
      </c>
      <c r="C211" s="1">
        <v>45855</v>
      </c>
      <c r="D211">
        <v>86</v>
      </c>
      <c r="E211">
        <v>50</v>
      </c>
      <c r="H211">
        <v>20</v>
      </c>
      <c r="I211">
        <f t="shared" si="26"/>
        <v>156</v>
      </c>
      <c r="J211" t="s">
        <v>16</v>
      </c>
      <c r="L211">
        <v>10</v>
      </c>
      <c r="M211" t="s">
        <v>26</v>
      </c>
      <c r="N211" s="1">
        <v>45856</v>
      </c>
      <c r="O211">
        <v>116</v>
      </c>
      <c r="P211">
        <v>61</v>
      </c>
      <c r="S211">
        <v>25</v>
      </c>
      <c r="T211">
        <f t="shared" si="27"/>
        <v>202</v>
      </c>
      <c r="U211" t="s">
        <v>16</v>
      </c>
    </row>
    <row r="212" spans="1:21">
      <c r="A212">
        <v>11</v>
      </c>
      <c r="B212" t="s">
        <v>27</v>
      </c>
      <c r="C212" s="1">
        <v>45855</v>
      </c>
      <c r="I212">
        <f t="shared" si="26"/>
        <v>0</v>
      </c>
      <c r="J212" t="s">
        <v>19</v>
      </c>
      <c r="L212">
        <v>11</v>
      </c>
      <c r="M212" t="s">
        <v>27</v>
      </c>
      <c r="N212" s="1">
        <v>45856</v>
      </c>
      <c r="T212">
        <f t="shared" si="27"/>
        <v>0</v>
      </c>
      <c r="U212" t="s">
        <v>19</v>
      </c>
    </row>
    <row r="213" spans="1:21">
      <c r="A213">
        <v>12</v>
      </c>
      <c r="B213" t="s">
        <v>28</v>
      </c>
      <c r="C213" s="1">
        <v>45855</v>
      </c>
      <c r="D213">
        <v>190</v>
      </c>
      <c r="E213">
        <v>185</v>
      </c>
      <c r="F213">
        <v>24</v>
      </c>
      <c r="G213">
        <v>20</v>
      </c>
      <c r="H213">
        <v>44</v>
      </c>
      <c r="I213">
        <f t="shared" si="26"/>
        <v>419</v>
      </c>
      <c r="J213" t="s">
        <v>25</v>
      </c>
      <c r="L213">
        <v>12</v>
      </c>
      <c r="M213" t="s">
        <v>28</v>
      </c>
      <c r="N213" s="1">
        <v>45856</v>
      </c>
      <c r="O213">
        <v>190</v>
      </c>
      <c r="P213">
        <v>192</v>
      </c>
      <c r="Q213">
        <v>25</v>
      </c>
      <c r="R213">
        <v>19</v>
      </c>
      <c r="S213">
        <v>44</v>
      </c>
      <c r="T213">
        <f t="shared" si="27"/>
        <v>426</v>
      </c>
      <c r="U213" t="s">
        <v>25</v>
      </c>
    </row>
    <row r="214" spans="1:21">
      <c r="A214">
        <v>13</v>
      </c>
      <c r="B214" t="s">
        <v>29</v>
      </c>
      <c r="C214" s="1">
        <v>45855</v>
      </c>
      <c r="D214">
        <v>91</v>
      </c>
      <c r="E214">
        <v>82</v>
      </c>
      <c r="F214">
        <v>2</v>
      </c>
      <c r="G214">
        <v>5</v>
      </c>
      <c r="H214">
        <v>7</v>
      </c>
      <c r="I214">
        <f t="shared" si="26"/>
        <v>180</v>
      </c>
      <c r="J214" t="s">
        <v>30</v>
      </c>
      <c r="L214">
        <v>13</v>
      </c>
      <c r="M214" t="s">
        <v>29</v>
      </c>
      <c r="N214" s="1">
        <v>45856</v>
      </c>
      <c r="O214">
        <v>126</v>
      </c>
      <c r="P214">
        <v>124</v>
      </c>
      <c r="Q214">
        <v>7</v>
      </c>
      <c r="R214">
        <v>9</v>
      </c>
      <c r="S214">
        <v>16</v>
      </c>
      <c r="T214">
        <f t="shared" si="27"/>
        <v>266</v>
      </c>
      <c r="U214" t="s">
        <v>30</v>
      </c>
    </row>
    <row r="215" spans="1:21">
      <c r="A215">
        <v>14</v>
      </c>
      <c r="B215" t="s">
        <v>31</v>
      </c>
      <c r="C215" s="1">
        <v>45855</v>
      </c>
      <c r="I215">
        <f t="shared" si="26"/>
        <v>0</v>
      </c>
      <c r="J215" t="s">
        <v>12</v>
      </c>
      <c r="L215">
        <v>14</v>
      </c>
      <c r="M215" t="s">
        <v>31</v>
      </c>
      <c r="N215" s="1">
        <v>45856</v>
      </c>
      <c r="O215">
        <v>25</v>
      </c>
      <c r="P215">
        <v>36</v>
      </c>
      <c r="Q215">
        <v>6</v>
      </c>
      <c r="R215">
        <v>4</v>
      </c>
      <c r="S215">
        <v>10</v>
      </c>
      <c r="T215">
        <f t="shared" si="27"/>
        <v>71</v>
      </c>
      <c r="U215" t="s">
        <v>12</v>
      </c>
    </row>
    <row r="216" spans="1:21">
      <c r="A216">
        <v>15</v>
      </c>
      <c r="B216" t="s">
        <v>32</v>
      </c>
      <c r="C216" s="1">
        <v>45855</v>
      </c>
      <c r="I216">
        <f t="shared" si="26"/>
        <v>0</v>
      </c>
      <c r="J216" t="s">
        <v>33</v>
      </c>
      <c r="L216">
        <v>15</v>
      </c>
      <c r="M216" t="s">
        <v>32</v>
      </c>
      <c r="N216" s="1">
        <v>45856</v>
      </c>
      <c r="T216">
        <f t="shared" si="27"/>
        <v>0</v>
      </c>
      <c r="U216" t="s">
        <v>33</v>
      </c>
    </row>
    <row r="217" spans="1:21">
      <c r="A217">
        <v>16</v>
      </c>
      <c r="B217" t="s">
        <v>34</v>
      </c>
      <c r="C217" s="1">
        <v>45855</v>
      </c>
      <c r="D217">
        <v>15</v>
      </c>
      <c r="E217">
        <v>8</v>
      </c>
      <c r="F217">
        <v>0</v>
      </c>
      <c r="G217">
        <v>0</v>
      </c>
      <c r="H217">
        <v>0</v>
      </c>
      <c r="I217">
        <f t="shared" si="26"/>
        <v>23</v>
      </c>
      <c r="J217" t="s">
        <v>21</v>
      </c>
      <c r="L217">
        <v>16</v>
      </c>
      <c r="M217" t="s">
        <v>34</v>
      </c>
      <c r="N217" s="1">
        <v>45856</v>
      </c>
      <c r="T217">
        <f t="shared" si="27"/>
        <v>0</v>
      </c>
      <c r="U217" t="s">
        <v>21</v>
      </c>
    </row>
    <row r="218" spans="1:21">
      <c r="A218">
        <v>17</v>
      </c>
      <c r="B218" t="s">
        <v>35</v>
      </c>
      <c r="C218" s="1">
        <v>45855</v>
      </c>
      <c r="I218">
        <f t="shared" si="26"/>
        <v>0</v>
      </c>
      <c r="J218" t="s">
        <v>33</v>
      </c>
      <c r="L218">
        <v>17</v>
      </c>
      <c r="M218" t="s">
        <v>35</v>
      </c>
      <c r="N218" s="1">
        <v>45856</v>
      </c>
      <c r="T218">
        <f t="shared" si="27"/>
        <v>0</v>
      </c>
      <c r="U218" t="s">
        <v>33</v>
      </c>
    </row>
    <row r="219" spans="1:21">
      <c r="A219">
        <v>18</v>
      </c>
      <c r="B219" t="s">
        <v>36</v>
      </c>
      <c r="C219" s="1">
        <v>45855</v>
      </c>
      <c r="I219">
        <f t="shared" si="26"/>
        <v>0</v>
      </c>
      <c r="J219" t="s">
        <v>33</v>
      </c>
      <c r="L219">
        <v>18</v>
      </c>
      <c r="M219" t="s">
        <v>36</v>
      </c>
      <c r="N219" s="1">
        <v>45856</v>
      </c>
      <c r="T219">
        <f t="shared" si="27"/>
        <v>0</v>
      </c>
      <c r="U219" t="s">
        <v>33</v>
      </c>
    </row>
    <row r="220" spans="1:21">
      <c r="A220">
        <v>19</v>
      </c>
      <c r="B220" t="s">
        <v>37</v>
      </c>
      <c r="C220" s="1">
        <v>45855</v>
      </c>
      <c r="I220">
        <f>D220+E220+H220</f>
        <v>0</v>
      </c>
      <c r="L220">
        <v>19</v>
      </c>
      <c r="M220" t="s">
        <v>37</v>
      </c>
      <c r="N220" s="1">
        <v>45856</v>
      </c>
      <c r="T220">
        <f>O220+P220+S220</f>
        <v>0</v>
      </c>
    </row>
    <row r="221" spans="1:21">
      <c r="A221">
        <v>20</v>
      </c>
      <c r="B221" t="s">
        <v>38</v>
      </c>
      <c r="C221" s="1">
        <v>45855</v>
      </c>
      <c r="I221">
        <f t="shared" ref="I221" si="28">D221+E221+H221</f>
        <v>0</v>
      </c>
      <c r="J221" t="s">
        <v>19</v>
      </c>
      <c r="L221">
        <v>20</v>
      </c>
      <c r="M221" t="s">
        <v>38</v>
      </c>
      <c r="N221" s="1">
        <v>45856</v>
      </c>
      <c r="T221">
        <f t="shared" ref="T221" si="29">O221+P221+S221</f>
        <v>0</v>
      </c>
      <c r="U221" t="s">
        <v>19</v>
      </c>
    </row>
    <row r="222" spans="1:21">
      <c r="B222" t="s">
        <v>9</v>
      </c>
      <c r="D222">
        <f>D202+D203+D204+D205+D206+D207+D209+D208+D210+D211+D212+D213+D214+D215+D217+D219</f>
        <v>833</v>
      </c>
      <c r="E222">
        <f>SUM(E202:E221)</f>
        <v>845</v>
      </c>
      <c r="I222">
        <f>I202+I203+I204+I205+I206+I207+I208+I209+I210+I211+I212+I213+I214+I215+I216+I217+I218+I219+I220+I221</f>
        <v>1863</v>
      </c>
      <c r="M222" t="s">
        <v>9</v>
      </c>
      <c r="O222">
        <f>O202+O203+O204+O205+O206+O207+O209+O208+O210+O211+O212+O213+O214+O215+O217+O219</f>
        <v>987</v>
      </c>
      <c r="P222">
        <f>SUM(P202:P221)</f>
        <v>1052</v>
      </c>
      <c r="T222">
        <f>T202+T203+T204+T205+T206+T207+T208+T209+T210+T211+T212+T213+T214+T215+T216+T217+T218+T219+T220+T221</f>
        <v>2280</v>
      </c>
    </row>
    <row r="224" spans="1:21">
      <c r="B224" t="s">
        <v>0</v>
      </c>
      <c r="C224" t="s">
        <v>57</v>
      </c>
      <c r="M224" t="s">
        <v>60</v>
      </c>
      <c r="N224" t="s">
        <v>58</v>
      </c>
    </row>
    <row r="225" spans="1:21">
      <c r="A225" t="s">
        <v>1</v>
      </c>
      <c r="B225" t="s">
        <v>2</v>
      </c>
      <c r="C225" t="s">
        <v>3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L225" t="s">
        <v>1</v>
      </c>
      <c r="M225" t="s">
        <v>2</v>
      </c>
      <c r="N225" t="s">
        <v>3</v>
      </c>
      <c r="O225" t="s">
        <v>4</v>
      </c>
      <c r="P225" t="s">
        <v>5</v>
      </c>
      <c r="Q225" t="s">
        <v>6</v>
      </c>
      <c r="R225" t="s">
        <v>7</v>
      </c>
      <c r="S225" t="s">
        <v>8</v>
      </c>
      <c r="T225" t="s">
        <v>9</v>
      </c>
      <c r="U225" t="s">
        <v>10</v>
      </c>
    </row>
    <row r="226" spans="1:21">
      <c r="A226">
        <v>1</v>
      </c>
      <c r="B226" t="s">
        <v>11</v>
      </c>
      <c r="C226" s="1">
        <v>45857</v>
      </c>
      <c r="D226">
        <v>9</v>
      </c>
      <c r="E226">
        <v>8</v>
      </c>
      <c r="F226">
        <v>0</v>
      </c>
      <c r="G226">
        <v>0</v>
      </c>
      <c r="H226">
        <v>0</v>
      </c>
      <c r="I226">
        <f>D226+E226+H226</f>
        <v>17</v>
      </c>
      <c r="J226" t="s">
        <v>12</v>
      </c>
      <c r="L226">
        <v>1</v>
      </c>
      <c r="M226" t="s">
        <v>11</v>
      </c>
      <c r="N226" s="1">
        <v>45858</v>
      </c>
      <c r="O226">
        <v>15</v>
      </c>
      <c r="P226">
        <v>13</v>
      </c>
      <c r="Q226">
        <v>2</v>
      </c>
      <c r="R226">
        <v>1</v>
      </c>
      <c r="S226">
        <v>3</v>
      </c>
      <c r="T226">
        <f>O226+P226+S226</f>
        <v>31</v>
      </c>
      <c r="U226" t="s">
        <v>12</v>
      </c>
    </row>
    <row r="227" spans="1:21">
      <c r="A227">
        <v>2</v>
      </c>
      <c r="B227" t="s">
        <v>13</v>
      </c>
      <c r="C227" s="1">
        <v>45857</v>
      </c>
      <c r="D227">
        <v>15</v>
      </c>
      <c r="E227">
        <v>8</v>
      </c>
      <c r="F227">
        <v>5</v>
      </c>
      <c r="G227">
        <v>4</v>
      </c>
      <c r="H227">
        <v>9</v>
      </c>
      <c r="I227">
        <f>D227+E227+H227</f>
        <v>32</v>
      </c>
      <c r="J227" t="s">
        <v>14</v>
      </c>
      <c r="L227">
        <v>2</v>
      </c>
      <c r="M227" t="s">
        <v>13</v>
      </c>
      <c r="N227" s="1">
        <v>45858</v>
      </c>
      <c r="O227">
        <v>12</v>
      </c>
      <c r="P227">
        <v>5</v>
      </c>
      <c r="Q227">
        <v>0</v>
      </c>
      <c r="R227">
        <v>0</v>
      </c>
      <c r="S227">
        <v>0</v>
      </c>
      <c r="T227">
        <f>O227+P227+S227</f>
        <v>17</v>
      </c>
      <c r="U227" t="s">
        <v>14</v>
      </c>
    </row>
    <row r="228" spans="1:21">
      <c r="A228">
        <v>3</v>
      </c>
      <c r="B228" t="s">
        <v>15</v>
      </c>
      <c r="C228" s="1">
        <v>45857</v>
      </c>
      <c r="D228">
        <v>64</v>
      </c>
      <c r="E228">
        <v>34</v>
      </c>
      <c r="H228">
        <v>0</v>
      </c>
      <c r="I228">
        <f>SUM(D228,E228,H228)</f>
        <v>98</v>
      </c>
      <c r="J228" t="s">
        <v>16</v>
      </c>
      <c r="L228">
        <v>3</v>
      </c>
      <c r="M228" t="s">
        <v>15</v>
      </c>
      <c r="N228" s="1">
        <v>45858</v>
      </c>
      <c r="O228">
        <v>34</v>
      </c>
      <c r="P228">
        <v>30</v>
      </c>
      <c r="S228">
        <v>0</v>
      </c>
      <c r="T228">
        <f>SUM(O228,P228,S228)</f>
        <v>64</v>
      </c>
      <c r="U228" t="s">
        <v>16</v>
      </c>
    </row>
    <row r="229" spans="1:21">
      <c r="A229">
        <v>4</v>
      </c>
      <c r="B229" t="s">
        <v>17</v>
      </c>
      <c r="C229" s="1">
        <v>45857</v>
      </c>
      <c r="D229">
        <v>35</v>
      </c>
      <c r="E229">
        <v>11</v>
      </c>
      <c r="H229">
        <v>1</v>
      </c>
      <c r="I229">
        <f t="shared" ref="I229:I243" si="30">D229+E229+H229</f>
        <v>47</v>
      </c>
      <c r="J229" t="s">
        <v>14</v>
      </c>
      <c r="L229">
        <v>4</v>
      </c>
      <c r="M229" t="s">
        <v>17</v>
      </c>
      <c r="N229" s="1">
        <v>45858</v>
      </c>
      <c r="O229">
        <v>33</v>
      </c>
      <c r="P229">
        <v>4</v>
      </c>
      <c r="S229">
        <v>3</v>
      </c>
      <c r="T229">
        <f t="shared" ref="T229:T243" si="31">O229+P229+S229</f>
        <v>40</v>
      </c>
      <c r="U229" t="s">
        <v>14</v>
      </c>
    </row>
    <row r="230" spans="1:21">
      <c r="A230">
        <v>5</v>
      </c>
      <c r="B230" t="s">
        <v>18</v>
      </c>
      <c r="C230" s="1">
        <v>45857</v>
      </c>
      <c r="D230">
        <v>279</v>
      </c>
      <c r="E230">
        <v>498</v>
      </c>
      <c r="H230">
        <v>188</v>
      </c>
      <c r="I230">
        <f t="shared" si="30"/>
        <v>965</v>
      </c>
      <c r="J230" t="s">
        <v>19</v>
      </c>
      <c r="L230">
        <v>5</v>
      </c>
      <c r="M230" t="s">
        <v>18</v>
      </c>
      <c r="N230" s="1">
        <v>45858</v>
      </c>
      <c r="O230">
        <v>11</v>
      </c>
      <c r="P230">
        <v>31</v>
      </c>
      <c r="S230">
        <v>4</v>
      </c>
      <c r="T230">
        <f t="shared" si="31"/>
        <v>46</v>
      </c>
      <c r="U230" t="s">
        <v>19</v>
      </c>
    </row>
    <row r="231" spans="1:21">
      <c r="A231">
        <v>6</v>
      </c>
      <c r="B231" t="s">
        <v>20</v>
      </c>
      <c r="C231" s="1">
        <v>45857</v>
      </c>
      <c r="D231">
        <v>80</v>
      </c>
      <c r="E231">
        <v>71</v>
      </c>
      <c r="H231">
        <v>0</v>
      </c>
      <c r="I231">
        <f t="shared" si="30"/>
        <v>151</v>
      </c>
      <c r="J231" t="s">
        <v>21</v>
      </c>
      <c r="L231">
        <v>6</v>
      </c>
      <c r="M231" t="s">
        <v>20</v>
      </c>
      <c r="N231" s="1">
        <v>45858</v>
      </c>
      <c r="O231">
        <v>84</v>
      </c>
      <c r="P231">
        <v>60</v>
      </c>
      <c r="S231">
        <v>0</v>
      </c>
      <c r="T231">
        <f t="shared" si="31"/>
        <v>144</v>
      </c>
      <c r="U231" t="s">
        <v>21</v>
      </c>
    </row>
    <row r="232" spans="1:21">
      <c r="A232">
        <v>7</v>
      </c>
      <c r="B232" t="s">
        <v>22</v>
      </c>
      <c r="C232" s="1">
        <v>45857</v>
      </c>
      <c r="I232">
        <f t="shared" si="30"/>
        <v>0</v>
      </c>
      <c r="J232" t="s">
        <v>14</v>
      </c>
      <c r="L232">
        <v>7</v>
      </c>
      <c r="M232" t="s">
        <v>22</v>
      </c>
      <c r="N232" s="1">
        <v>45858</v>
      </c>
      <c r="T232">
        <f t="shared" si="31"/>
        <v>0</v>
      </c>
      <c r="U232" t="s">
        <v>14</v>
      </c>
    </row>
    <row r="233" spans="1:21">
      <c r="A233">
        <v>8</v>
      </c>
      <c r="B233" t="s">
        <v>23</v>
      </c>
      <c r="C233" s="1">
        <v>45857</v>
      </c>
      <c r="D233">
        <v>29</v>
      </c>
      <c r="E233">
        <v>12</v>
      </c>
      <c r="F233">
        <v>0</v>
      </c>
      <c r="G233">
        <v>0</v>
      </c>
      <c r="H233">
        <v>0</v>
      </c>
      <c r="I233">
        <f t="shared" si="30"/>
        <v>41</v>
      </c>
      <c r="J233" t="s">
        <v>12</v>
      </c>
      <c r="L233">
        <v>8</v>
      </c>
      <c r="M233" t="s">
        <v>23</v>
      </c>
      <c r="N233" s="1">
        <v>45858</v>
      </c>
      <c r="O233">
        <v>93</v>
      </c>
      <c r="P233">
        <v>103</v>
      </c>
      <c r="Q233">
        <v>21</v>
      </c>
      <c r="R233">
        <v>13</v>
      </c>
      <c r="S233">
        <v>34</v>
      </c>
      <c r="T233">
        <f t="shared" si="31"/>
        <v>230</v>
      </c>
      <c r="U233" t="s">
        <v>12</v>
      </c>
    </row>
    <row r="234" spans="1:21">
      <c r="A234">
        <v>9</v>
      </c>
      <c r="B234" t="s">
        <v>24</v>
      </c>
      <c r="C234" s="1">
        <v>45857</v>
      </c>
      <c r="D234">
        <v>46</v>
      </c>
      <c r="E234">
        <v>13</v>
      </c>
      <c r="H234">
        <v>4</v>
      </c>
      <c r="I234">
        <f t="shared" si="30"/>
        <v>63</v>
      </c>
      <c r="J234" t="s">
        <v>25</v>
      </c>
      <c r="L234">
        <v>9</v>
      </c>
      <c r="M234" t="s">
        <v>24</v>
      </c>
      <c r="N234" s="1">
        <v>45858</v>
      </c>
      <c r="O234">
        <v>33</v>
      </c>
      <c r="P234">
        <v>13</v>
      </c>
      <c r="S234">
        <v>2</v>
      </c>
      <c r="T234">
        <f t="shared" si="31"/>
        <v>48</v>
      </c>
      <c r="U234" t="s">
        <v>25</v>
      </c>
    </row>
    <row r="235" spans="1:21">
      <c r="A235">
        <v>10</v>
      </c>
      <c r="B235" t="s">
        <v>26</v>
      </c>
      <c r="C235" s="1">
        <v>45857</v>
      </c>
      <c r="D235">
        <v>150</v>
      </c>
      <c r="E235">
        <v>82</v>
      </c>
      <c r="H235">
        <v>35</v>
      </c>
      <c r="I235">
        <f t="shared" si="30"/>
        <v>267</v>
      </c>
      <c r="J235" t="s">
        <v>16</v>
      </c>
      <c r="L235">
        <v>10</v>
      </c>
      <c r="M235" t="s">
        <v>26</v>
      </c>
      <c r="N235" s="1">
        <v>45858</v>
      </c>
      <c r="O235">
        <v>99</v>
      </c>
      <c r="P235">
        <v>61</v>
      </c>
      <c r="S235">
        <v>27</v>
      </c>
      <c r="T235">
        <f t="shared" si="31"/>
        <v>187</v>
      </c>
      <c r="U235" t="s">
        <v>16</v>
      </c>
    </row>
    <row r="236" spans="1:21">
      <c r="A236">
        <v>11</v>
      </c>
      <c r="B236" t="s">
        <v>27</v>
      </c>
      <c r="C236" s="1">
        <v>45857</v>
      </c>
      <c r="D236">
        <v>8</v>
      </c>
      <c r="E236">
        <v>1</v>
      </c>
      <c r="F236">
        <v>1</v>
      </c>
      <c r="G236">
        <v>1</v>
      </c>
      <c r="H236">
        <v>2</v>
      </c>
      <c r="I236">
        <f t="shared" si="30"/>
        <v>11</v>
      </c>
      <c r="J236" t="s">
        <v>19</v>
      </c>
      <c r="L236">
        <v>11</v>
      </c>
      <c r="M236" t="s">
        <v>27</v>
      </c>
      <c r="N236" s="1">
        <v>45858</v>
      </c>
      <c r="O236">
        <v>4</v>
      </c>
      <c r="P236">
        <v>0</v>
      </c>
      <c r="Q236">
        <v>0</v>
      </c>
      <c r="R236">
        <v>0</v>
      </c>
      <c r="S236">
        <v>0</v>
      </c>
      <c r="T236">
        <f t="shared" si="31"/>
        <v>4</v>
      </c>
      <c r="U236" t="s">
        <v>19</v>
      </c>
    </row>
    <row r="237" spans="1:21">
      <c r="A237">
        <v>12</v>
      </c>
      <c r="B237" t="s">
        <v>28</v>
      </c>
      <c r="C237" s="1">
        <v>45857</v>
      </c>
      <c r="D237">
        <v>190</v>
      </c>
      <c r="E237">
        <v>189</v>
      </c>
      <c r="F237">
        <v>26</v>
      </c>
      <c r="G237">
        <v>27</v>
      </c>
      <c r="H237">
        <v>53</v>
      </c>
      <c r="I237">
        <f t="shared" si="30"/>
        <v>432</v>
      </c>
      <c r="J237" t="s">
        <v>25</v>
      </c>
      <c r="L237">
        <v>12</v>
      </c>
      <c r="M237" t="s">
        <v>28</v>
      </c>
      <c r="N237" s="1">
        <v>45858</v>
      </c>
      <c r="T237">
        <f t="shared" si="31"/>
        <v>0</v>
      </c>
      <c r="U237" t="s">
        <v>25</v>
      </c>
    </row>
    <row r="238" spans="1:21">
      <c r="A238">
        <v>13</v>
      </c>
      <c r="B238" t="s">
        <v>29</v>
      </c>
      <c r="C238" s="1">
        <v>45857</v>
      </c>
      <c r="I238">
        <f t="shared" si="30"/>
        <v>0</v>
      </c>
      <c r="J238" t="s">
        <v>30</v>
      </c>
      <c r="L238">
        <v>13</v>
      </c>
      <c r="M238" t="s">
        <v>29</v>
      </c>
      <c r="N238" s="1">
        <v>45858</v>
      </c>
      <c r="O238">
        <v>87</v>
      </c>
      <c r="P238">
        <v>94</v>
      </c>
      <c r="Q238">
        <v>3</v>
      </c>
      <c r="R238">
        <v>5</v>
      </c>
      <c r="S238">
        <v>8</v>
      </c>
      <c r="T238">
        <f t="shared" si="31"/>
        <v>189</v>
      </c>
      <c r="U238" t="s">
        <v>30</v>
      </c>
    </row>
    <row r="239" spans="1:21">
      <c r="A239">
        <v>14</v>
      </c>
      <c r="B239" t="s">
        <v>31</v>
      </c>
      <c r="C239" s="1">
        <v>45857</v>
      </c>
      <c r="I239">
        <f t="shared" si="30"/>
        <v>0</v>
      </c>
      <c r="J239" t="s">
        <v>12</v>
      </c>
      <c r="L239">
        <v>14</v>
      </c>
      <c r="M239" t="s">
        <v>31</v>
      </c>
      <c r="N239" s="1">
        <v>45858</v>
      </c>
      <c r="T239">
        <f t="shared" si="31"/>
        <v>0</v>
      </c>
      <c r="U239" t="s">
        <v>12</v>
      </c>
    </row>
    <row r="240" spans="1:21">
      <c r="A240">
        <v>15</v>
      </c>
      <c r="B240" t="s">
        <v>32</v>
      </c>
      <c r="C240" s="1">
        <v>45857</v>
      </c>
      <c r="I240">
        <f t="shared" si="30"/>
        <v>0</v>
      </c>
      <c r="J240" t="s">
        <v>33</v>
      </c>
      <c r="L240">
        <v>15</v>
      </c>
      <c r="M240" t="s">
        <v>32</v>
      </c>
      <c r="N240" s="1">
        <v>45858</v>
      </c>
      <c r="T240">
        <f t="shared" si="31"/>
        <v>0</v>
      </c>
      <c r="U240" t="s">
        <v>33</v>
      </c>
    </row>
    <row r="241" spans="1:21">
      <c r="A241">
        <v>16</v>
      </c>
      <c r="B241" t="s">
        <v>34</v>
      </c>
      <c r="C241" s="1">
        <v>45857</v>
      </c>
      <c r="D241">
        <v>12</v>
      </c>
      <c r="E241">
        <v>9</v>
      </c>
      <c r="F241">
        <v>1</v>
      </c>
      <c r="G241">
        <v>3</v>
      </c>
      <c r="H241">
        <v>4</v>
      </c>
      <c r="I241">
        <f t="shared" si="30"/>
        <v>25</v>
      </c>
      <c r="J241" t="s">
        <v>21</v>
      </c>
      <c r="L241">
        <v>16</v>
      </c>
      <c r="M241" t="s">
        <v>34</v>
      </c>
      <c r="N241" s="1">
        <v>45858</v>
      </c>
      <c r="O241">
        <v>25</v>
      </c>
      <c r="P241">
        <v>18</v>
      </c>
      <c r="Q241">
        <v>0</v>
      </c>
      <c r="R241">
        <v>2</v>
      </c>
      <c r="S241">
        <v>2</v>
      </c>
      <c r="T241">
        <f t="shared" si="31"/>
        <v>45</v>
      </c>
      <c r="U241" t="s">
        <v>21</v>
      </c>
    </row>
    <row r="242" spans="1:21">
      <c r="A242">
        <v>17</v>
      </c>
      <c r="B242" t="s">
        <v>35</v>
      </c>
      <c r="C242" s="1">
        <v>45857</v>
      </c>
      <c r="I242">
        <f t="shared" si="30"/>
        <v>0</v>
      </c>
      <c r="J242" t="s">
        <v>33</v>
      </c>
      <c r="L242">
        <v>17</v>
      </c>
      <c r="M242" t="s">
        <v>35</v>
      </c>
      <c r="N242" s="1">
        <v>45858</v>
      </c>
      <c r="T242">
        <f t="shared" si="31"/>
        <v>0</v>
      </c>
      <c r="U242" t="s">
        <v>33</v>
      </c>
    </row>
    <row r="243" spans="1:21">
      <c r="A243">
        <v>18</v>
      </c>
      <c r="B243" t="s">
        <v>36</v>
      </c>
      <c r="C243" s="1">
        <v>45857</v>
      </c>
      <c r="I243">
        <f t="shared" si="30"/>
        <v>0</v>
      </c>
      <c r="J243" t="s">
        <v>33</v>
      </c>
      <c r="L243">
        <v>18</v>
      </c>
      <c r="M243" t="s">
        <v>36</v>
      </c>
      <c r="N243" s="1">
        <v>45858</v>
      </c>
      <c r="T243">
        <f t="shared" si="31"/>
        <v>0</v>
      </c>
      <c r="U243" t="s">
        <v>33</v>
      </c>
    </row>
    <row r="244" spans="1:21">
      <c r="A244">
        <v>19</v>
      </c>
      <c r="B244" t="s">
        <v>37</v>
      </c>
      <c r="C244" s="1">
        <v>45857</v>
      </c>
      <c r="I244">
        <f>D244+E244+H244</f>
        <v>0</v>
      </c>
      <c r="L244">
        <v>19</v>
      </c>
      <c r="M244" t="s">
        <v>37</v>
      </c>
      <c r="N244" s="1">
        <v>45858</v>
      </c>
      <c r="T244">
        <f>O244+P244+S244</f>
        <v>0</v>
      </c>
    </row>
    <row r="245" spans="1:21">
      <c r="A245">
        <v>20</v>
      </c>
      <c r="B245" t="s">
        <v>38</v>
      </c>
      <c r="C245" s="1">
        <v>45857</v>
      </c>
      <c r="I245">
        <f t="shared" ref="I245" si="32">D245+E245+H245</f>
        <v>0</v>
      </c>
      <c r="J245" t="s">
        <v>19</v>
      </c>
      <c r="L245">
        <v>20</v>
      </c>
      <c r="M245" t="s">
        <v>38</v>
      </c>
      <c r="N245" s="1">
        <v>45858</v>
      </c>
      <c r="T245">
        <f t="shared" ref="T245" si="33">O245+P245+S245</f>
        <v>0</v>
      </c>
      <c r="U245" t="s">
        <v>19</v>
      </c>
    </row>
    <row r="246" spans="1:21">
      <c r="B246" t="s">
        <v>9</v>
      </c>
      <c r="D246">
        <f>D226+D227+D228+D229+D230+D231+D233+D232+D234+D235+D236+D237+D238+D239+D241+D243</f>
        <v>917</v>
      </c>
      <c r="E246">
        <f>SUM(E226:E245)</f>
        <v>936</v>
      </c>
      <c r="I246">
        <f>I226+I227+I228+I229+I230+I231+I232+I233+I234+I235+I236+I237+I238+I239+I240+I241+I242+I243+I244+I245</f>
        <v>2149</v>
      </c>
      <c r="M246" t="s">
        <v>9</v>
      </c>
      <c r="O246">
        <f>O226+O227+O228+O229+O230+O231+O233+O232+O234+O235+O236+O237+O238+O239+O241+O243</f>
        <v>530</v>
      </c>
      <c r="P246">
        <f>SUM(P226:P245)</f>
        <v>432</v>
      </c>
      <c r="T246">
        <f>T226+T227+T228+T229+T230+T231+T232+T233+T234+T235+T236+T237+T238+T239+T240+T241+T242+T243+T244+T245</f>
        <v>1045</v>
      </c>
    </row>
    <row r="248" spans="1:21">
      <c r="B248" t="s">
        <v>0</v>
      </c>
      <c r="C248" t="s">
        <v>59</v>
      </c>
      <c r="M248" t="s">
        <v>0</v>
      </c>
      <c r="N248" t="s">
        <v>50</v>
      </c>
    </row>
    <row r="249" spans="1:21">
      <c r="A249" t="s">
        <v>1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  <c r="I249" t="s">
        <v>9</v>
      </c>
      <c r="J249" t="s">
        <v>10</v>
      </c>
      <c r="L249" t="s">
        <v>1</v>
      </c>
      <c r="M249" t="s">
        <v>2</v>
      </c>
      <c r="N249" t="s">
        <v>3</v>
      </c>
      <c r="O249" t="s">
        <v>4</v>
      </c>
      <c r="P249" t="s">
        <v>5</v>
      </c>
      <c r="Q249" t="s">
        <v>6</v>
      </c>
      <c r="R249" t="s">
        <v>7</v>
      </c>
      <c r="S249" t="s">
        <v>8</v>
      </c>
      <c r="T249" t="s">
        <v>9</v>
      </c>
      <c r="U249" t="s">
        <v>10</v>
      </c>
    </row>
    <row r="250" spans="1:21">
      <c r="A250">
        <v>1</v>
      </c>
      <c r="B250" t="s">
        <v>11</v>
      </c>
      <c r="C250" s="1">
        <v>45859</v>
      </c>
      <c r="D250">
        <v>28</v>
      </c>
      <c r="E250">
        <v>15</v>
      </c>
      <c r="F250">
        <v>2</v>
      </c>
      <c r="G250">
        <v>2</v>
      </c>
      <c r="H250">
        <v>4</v>
      </c>
      <c r="I250">
        <f>D250+E250+H250</f>
        <v>47</v>
      </c>
      <c r="J250" t="s">
        <v>12</v>
      </c>
      <c r="L250">
        <v>1</v>
      </c>
      <c r="M250" t="s">
        <v>11</v>
      </c>
      <c r="N250" s="1">
        <v>45860</v>
      </c>
      <c r="O250">
        <v>18</v>
      </c>
      <c r="P250">
        <v>9</v>
      </c>
      <c r="Q250">
        <v>1</v>
      </c>
      <c r="R250">
        <v>1</v>
      </c>
      <c r="S250">
        <v>2</v>
      </c>
      <c r="T250">
        <f>O250+P250+S250</f>
        <v>29</v>
      </c>
      <c r="U250" t="s">
        <v>12</v>
      </c>
    </row>
    <row r="251" spans="1:21">
      <c r="A251">
        <v>2</v>
      </c>
      <c r="B251" t="s">
        <v>13</v>
      </c>
      <c r="C251" s="1">
        <v>45859</v>
      </c>
      <c r="D251">
        <v>25</v>
      </c>
      <c r="E251">
        <v>5</v>
      </c>
      <c r="F251">
        <v>0</v>
      </c>
      <c r="G251">
        <v>0</v>
      </c>
      <c r="H251">
        <v>0</v>
      </c>
      <c r="I251">
        <f>D251+E251+H251</f>
        <v>30</v>
      </c>
      <c r="J251" t="s">
        <v>14</v>
      </c>
      <c r="L251">
        <v>2</v>
      </c>
      <c r="M251" t="s">
        <v>13</v>
      </c>
      <c r="N251" s="1">
        <v>45860</v>
      </c>
      <c r="O251">
        <v>19</v>
      </c>
      <c r="P251">
        <v>3</v>
      </c>
      <c r="Q251">
        <v>0</v>
      </c>
      <c r="R251">
        <v>0</v>
      </c>
      <c r="S251">
        <v>0</v>
      </c>
      <c r="T251">
        <f>O251+P251+S251</f>
        <v>22</v>
      </c>
      <c r="U251" t="s">
        <v>14</v>
      </c>
    </row>
    <row r="252" spans="1:21">
      <c r="A252">
        <v>3</v>
      </c>
      <c r="B252" t="s">
        <v>15</v>
      </c>
      <c r="C252" s="1">
        <v>45859</v>
      </c>
      <c r="D252">
        <v>36</v>
      </c>
      <c r="E252">
        <v>44</v>
      </c>
      <c r="H252">
        <v>0</v>
      </c>
      <c r="I252">
        <f>SUM(D252,E252,H252)</f>
        <v>80</v>
      </c>
      <c r="J252" t="s">
        <v>16</v>
      </c>
      <c r="L252">
        <v>3</v>
      </c>
      <c r="M252" t="s">
        <v>15</v>
      </c>
      <c r="N252" s="1">
        <v>45860</v>
      </c>
      <c r="T252">
        <f>SUM(O252,P252,S252)</f>
        <v>0</v>
      </c>
      <c r="U252" t="s">
        <v>16</v>
      </c>
    </row>
    <row r="253" spans="1:21">
      <c r="A253">
        <v>4</v>
      </c>
      <c r="B253" t="s">
        <v>17</v>
      </c>
      <c r="C253" s="1">
        <v>45859</v>
      </c>
      <c r="D253">
        <v>19</v>
      </c>
      <c r="E253">
        <v>9</v>
      </c>
      <c r="F253">
        <v>0</v>
      </c>
      <c r="G253">
        <v>0</v>
      </c>
      <c r="H253">
        <v>0</v>
      </c>
      <c r="I253">
        <f t="shared" ref="I253:I267" si="34">D253+E253+H253</f>
        <v>28</v>
      </c>
      <c r="J253" t="s">
        <v>14</v>
      </c>
      <c r="L253">
        <v>4</v>
      </c>
      <c r="M253" t="s">
        <v>17</v>
      </c>
      <c r="N253" s="1">
        <v>45860</v>
      </c>
      <c r="O253">
        <v>18</v>
      </c>
      <c r="P253">
        <v>10</v>
      </c>
      <c r="Q253">
        <v>0</v>
      </c>
      <c r="R253">
        <v>0</v>
      </c>
      <c r="S253">
        <v>0</v>
      </c>
      <c r="T253">
        <f t="shared" ref="T253:T267" si="35">O253+P253+S253</f>
        <v>28</v>
      </c>
      <c r="U253" t="s">
        <v>14</v>
      </c>
    </row>
    <row r="254" spans="1:21">
      <c r="A254">
        <v>5</v>
      </c>
      <c r="B254" t="s">
        <v>18</v>
      </c>
      <c r="C254" s="1">
        <v>45859</v>
      </c>
      <c r="D254">
        <v>474</v>
      </c>
      <c r="E254">
        <v>805</v>
      </c>
      <c r="H254">
        <v>288</v>
      </c>
      <c r="I254">
        <f t="shared" si="34"/>
        <v>1567</v>
      </c>
      <c r="J254" t="s">
        <v>19</v>
      </c>
      <c r="L254">
        <v>5</v>
      </c>
      <c r="M254" t="s">
        <v>18</v>
      </c>
      <c r="N254" s="1">
        <v>45860</v>
      </c>
      <c r="T254">
        <f t="shared" si="35"/>
        <v>0</v>
      </c>
      <c r="U254" t="s">
        <v>19</v>
      </c>
    </row>
    <row r="255" spans="1:21">
      <c r="A255">
        <v>6</v>
      </c>
      <c r="B255" t="s">
        <v>20</v>
      </c>
      <c r="C255" s="1">
        <v>45859</v>
      </c>
      <c r="D255">
        <v>80</v>
      </c>
      <c r="E255">
        <v>51</v>
      </c>
      <c r="H255">
        <v>0</v>
      </c>
      <c r="I255">
        <f t="shared" si="34"/>
        <v>131</v>
      </c>
      <c r="J255" t="s">
        <v>21</v>
      </c>
      <c r="L255">
        <v>6</v>
      </c>
      <c r="M255" t="s">
        <v>20</v>
      </c>
      <c r="N255" s="1">
        <v>45860</v>
      </c>
      <c r="O255">
        <v>110</v>
      </c>
      <c r="P255">
        <v>68</v>
      </c>
      <c r="S255">
        <v>0</v>
      </c>
      <c r="T255">
        <f t="shared" si="35"/>
        <v>178</v>
      </c>
      <c r="U255" t="s">
        <v>21</v>
      </c>
    </row>
    <row r="256" spans="1:21">
      <c r="A256">
        <v>7</v>
      </c>
      <c r="B256" t="s">
        <v>22</v>
      </c>
      <c r="C256" s="1">
        <v>45859</v>
      </c>
      <c r="D256">
        <v>53</v>
      </c>
      <c r="E256">
        <v>53</v>
      </c>
      <c r="H256">
        <v>13</v>
      </c>
      <c r="I256">
        <f t="shared" si="34"/>
        <v>119</v>
      </c>
      <c r="J256" t="s">
        <v>14</v>
      </c>
      <c r="L256">
        <v>7</v>
      </c>
      <c r="M256" t="s">
        <v>22</v>
      </c>
      <c r="N256" s="1">
        <v>45860</v>
      </c>
      <c r="O256">
        <v>44</v>
      </c>
      <c r="P256">
        <v>38</v>
      </c>
      <c r="S256">
        <v>6</v>
      </c>
      <c r="T256">
        <f t="shared" si="35"/>
        <v>88</v>
      </c>
      <c r="U256" t="s">
        <v>14</v>
      </c>
    </row>
    <row r="257" spans="1:21">
      <c r="A257">
        <v>8</v>
      </c>
      <c r="B257" t="s">
        <v>23</v>
      </c>
      <c r="C257" s="1">
        <v>45859</v>
      </c>
      <c r="D257">
        <v>148</v>
      </c>
      <c r="E257">
        <v>152</v>
      </c>
      <c r="F257">
        <v>12</v>
      </c>
      <c r="G257">
        <v>12</v>
      </c>
      <c r="H257">
        <v>24</v>
      </c>
      <c r="I257">
        <f t="shared" si="34"/>
        <v>324</v>
      </c>
      <c r="J257" t="s">
        <v>12</v>
      </c>
      <c r="L257">
        <v>8</v>
      </c>
      <c r="M257" t="s">
        <v>23</v>
      </c>
      <c r="N257" s="1">
        <v>45860</v>
      </c>
      <c r="O257">
        <v>22</v>
      </c>
      <c r="P257">
        <v>10</v>
      </c>
      <c r="Q257">
        <v>0</v>
      </c>
      <c r="R257">
        <v>0</v>
      </c>
      <c r="S257">
        <v>0</v>
      </c>
      <c r="T257">
        <f t="shared" si="35"/>
        <v>32</v>
      </c>
      <c r="U257" t="s">
        <v>12</v>
      </c>
    </row>
    <row r="258" spans="1:21">
      <c r="A258">
        <v>9</v>
      </c>
      <c r="B258" t="s">
        <v>24</v>
      </c>
      <c r="C258" s="1">
        <v>45859</v>
      </c>
      <c r="D258">
        <v>34</v>
      </c>
      <c r="E258">
        <v>14</v>
      </c>
      <c r="H258">
        <v>7</v>
      </c>
      <c r="I258">
        <f t="shared" si="34"/>
        <v>55</v>
      </c>
      <c r="J258" t="s">
        <v>25</v>
      </c>
      <c r="L258">
        <v>9</v>
      </c>
      <c r="M258" t="s">
        <v>24</v>
      </c>
      <c r="N258" s="1">
        <v>45860</v>
      </c>
      <c r="O258">
        <v>24</v>
      </c>
      <c r="P258">
        <v>14</v>
      </c>
      <c r="S258">
        <v>5</v>
      </c>
      <c r="T258">
        <f t="shared" si="35"/>
        <v>43</v>
      </c>
      <c r="U258" t="s">
        <v>25</v>
      </c>
    </row>
    <row r="259" spans="1:21">
      <c r="A259">
        <v>10</v>
      </c>
      <c r="B259" t="s">
        <v>26</v>
      </c>
      <c r="C259" s="1">
        <v>45859</v>
      </c>
      <c r="D259">
        <v>155</v>
      </c>
      <c r="E259">
        <v>109</v>
      </c>
      <c r="H259">
        <v>42</v>
      </c>
      <c r="I259">
        <f t="shared" si="34"/>
        <v>306</v>
      </c>
      <c r="J259" t="s">
        <v>16</v>
      </c>
      <c r="L259">
        <v>10</v>
      </c>
      <c r="M259" t="s">
        <v>26</v>
      </c>
      <c r="N259" s="1">
        <v>45860</v>
      </c>
      <c r="O259">
        <v>135</v>
      </c>
      <c r="P259">
        <v>107</v>
      </c>
      <c r="S259">
        <v>37</v>
      </c>
      <c r="T259">
        <f t="shared" si="35"/>
        <v>279</v>
      </c>
      <c r="U259" t="s">
        <v>16</v>
      </c>
    </row>
    <row r="260" spans="1:21">
      <c r="A260">
        <v>11</v>
      </c>
      <c r="B260" t="s">
        <v>27</v>
      </c>
      <c r="C260" s="1">
        <v>45859</v>
      </c>
      <c r="D260">
        <v>4</v>
      </c>
      <c r="E260">
        <v>8</v>
      </c>
      <c r="F260">
        <v>0</v>
      </c>
      <c r="G260">
        <v>0</v>
      </c>
      <c r="H260">
        <v>0</v>
      </c>
      <c r="I260">
        <f t="shared" si="34"/>
        <v>12</v>
      </c>
      <c r="J260" t="s">
        <v>19</v>
      </c>
      <c r="L260">
        <v>11</v>
      </c>
      <c r="M260" t="s">
        <v>27</v>
      </c>
      <c r="N260" s="1">
        <v>45860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f t="shared" si="35"/>
        <v>4</v>
      </c>
      <c r="U260" t="s">
        <v>19</v>
      </c>
    </row>
    <row r="261" spans="1:21">
      <c r="A261">
        <v>12</v>
      </c>
      <c r="B261" t="s">
        <v>28</v>
      </c>
      <c r="C261" s="1">
        <v>45859</v>
      </c>
      <c r="D261">
        <v>152</v>
      </c>
      <c r="E261">
        <v>165</v>
      </c>
      <c r="F261">
        <v>20</v>
      </c>
      <c r="G261">
        <v>14</v>
      </c>
      <c r="H261">
        <v>34</v>
      </c>
      <c r="I261">
        <f t="shared" si="34"/>
        <v>351</v>
      </c>
      <c r="J261" t="s">
        <v>25</v>
      </c>
      <c r="L261">
        <v>12</v>
      </c>
      <c r="M261" t="s">
        <v>28</v>
      </c>
      <c r="N261" s="1">
        <v>45860</v>
      </c>
      <c r="T261">
        <f t="shared" si="35"/>
        <v>0</v>
      </c>
      <c r="U261" t="s">
        <v>25</v>
      </c>
    </row>
    <row r="262" spans="1:21">
      <c r="A262">
        <v>13</v>
      </c>
      <c r="B262" t="s">
        <v>29</v>
      </c>
      <c r="C262" s="1">
        <v>45859</v>
      </c>
      <c r="D262">
        <v>142</v>
      </c>
      <c r="E262">
        <v>132</v>
      </c>
      <c r="F262">
        <v>9</v>
      </c>
      <c r="G262">
        <v>11</v>
      </c>
      <c r="H262">
        <v>20</v>
      </c>
      <c r="I262">
        <f t="shared" si="34"/>
        <v>294</v>
      </c>
      <c r="J262" t="s">
        <v>30</v>
      </c>
      <c r="L262">
        <v>13</v>
      </c>
      <c r="M262" t="s">
        <v>29</v>
      </c>
      <c r="N262" s="1">
        <v>45860</v>
      </c>
      <c r="O262">
        <v>128</v>
      </c>
      <c r="P262">
        <v>126</v>
      </c>
      <c r="Q262">
        <v>13</v>
      </c>
      <c r="R262">
        <v>16</v>
      </c>
      <c r="S262">
        <v>29</v>
      </c>
      <c r="T262">
        <f t="shared" si="35"/>
        <v>283</v>
      </c>
      <c r="U262" t="s">
        <v>30</v>
      </c>
    </row>
    <row r="263" spans="1:21">
      <c r="A263">
        <v>14</v>
      </c>
      <c r="B263" t="s">
        <v>31</v>
      </c>
      <c r="C263" s="1">
        <v>45859</v>
      </c>
      <c r="I263">
        <f t="shared" si="34"/>
        <v>0</v>
      </c>
      <c r="J263" t="s">
        <v>12</v>
      </c>
      <c r="L263">
        <v>14</v>
      </c>
      <c r="M263" t="s">
        <v>31</v>
      </c>
      <c r="N263" s="1">
        <v>45860</v>
      </c>
      <c r="T263">
        <f t="shared" si="35"/>
        <v>0</v>
      </c>
      <c r="U263" t="s">
        <v>12</v>
      </c>
    </row>
    <row r="264" spans="1:21">
      <c r="A264">
        <v>15</v>
      </c>
      <c r="B264" t="s">
        <v>32</v>
      </c>
      <c r="C264" s="1">
        <v>45859</v>
      </c>
      <c r="I264">
        <f t="shared" si="34"/>
        <v>0</v>
      </c>
      <c r="J264" t="s">
        <v>33</v>
      </c>
      <c r="L264">
        <v>15</v>
      </c>
      <c r="M264" t="s">
        <v>32</v>
      </c>
      <c r="N264" s="1">
        <v>45860</v>
      </c>
      <c r="T264">
        <f t="shared" si="35"/>
        <v>0</v>
      </c>
      <c r="U264" t="s">
        <v>33</v>
      </c>
    </row>
    <row r="265" spans="1:21">
      <c r="A265">
        <v>16</v>
      </c>
      <c r="B265" t="s">
        <v>34</v>
      </c>
      <c r="C265" s="1">
        <v>45859</v>
      </c>
      <c r="D265">
        <v>19</v>
      </c>
      <c r="E265">
        <v>13</v>
      </c>
      <c r="F265">
        <v>2</v>
      </c>
      <c r="G265">
        <v>0</v>
      </c>
      <c r="H265">
        <v>2</v>
      </c>
      <c r="I265">
        <f t="shared" si="34"/>
        <v>34</v>
      </c>
      <c r="J265" t="s">
        <v>21</v>
      </c>
      <c r="L265">
        <v>16</v>
      </c>
      <c r="M265" t="s">
        <v>34</v>
      </c>
      <c r="N265" s="1">
        <v>45860</v>
      </c>
      <c r="O265">
        <v>8</v>
      </c>
      <c r="P265">
        <v>10</v>
      </c>
      <c r="Q265">
        <v>0</v>
      </c>
      <c r="R265">
        <v>0</v>
      </c>
      <c r="S265">
        <v>0</v>
      </c>
      <c r="T265">
        <f t="shared" si="35"/>
        <v>18</v>
      </c>
      <c r="U265" t="s">
        <v>21</v>
      </c>
    </row>
    <row r="266" spans="1:21">
      <c r="A266">
        <v>17</v>
      </c>
      <c r="B266" t="s">
        <v>35</v>
      </c>
      <c r="C266" s="1">
        <v>45859</v>
      </c>
      <c r="I266">
        <f t="shared" si="34"/>
        <v>0</v>
      </c>
      <c r="J266" t="s">
        <v>33</v>
      </c>
      <c r="L266">
        <v>17</v>
      </c>
      <c r="M266" t="s">
        <v>35</v>
      </c>
      <c r="N266" s="1">
        <v>45860</v>
      </c>
      <c r="T266">
        <f t="shared" si="35"/>
        <v>0</v>
      </c>
      <c r="U266" t="s">
        <v>33</v>
      </c>
    </row>
    <row r="267" spans="1:21">
      <c r="A267">
        <v>18</v>
      </c>
      <c r="B267" t="s">
        <v>36</v>
      </c>
      <c r="C267" s="1">
        <v>45859</v>
      </c>
      <c r="I267">
        <f t="shared" si="34"/>
        <v>0</v>
      </c>
      <c r="J267" t="s">
        <v>33</v>
      </c>
      <c r="L267">
        <v>18</v>
      </c>
      <c r="M267" t="s">
        <v>36</v>
      </c>
      <c r="N267" s="1">
        <v>45860</v>
      </c>
      <c r="O267">
        <v>276</v>
      </c>
      <c r="P267">
        <v>281</v>
      </c>
      <c r="S267">
        <v>0</v>
      </c>
      <c r="T267">
        <f t="shared" si="35"/>
        <v>557</v>
      </c>
      <c r="U267" t="s">
        <v>33</v>
      </c>
    </row>
    <row r="268" spans="1:21">
      <c r="A268">
        <v>19</v>
      </c>
      <c r="B268" t="s">
        <v>37</v>
      </c>
      <c r="C268" s="1">
        <v>45859</v>
      </c>
      <c r="I268">
        <f>D268+E268+H268</f>
        <v>0</v>
      </c>
      <c r="L268">
        <v>19</v>
      </c>
      <c r="M268" t="s">
        <v>37</v>
      </c>
      <c r="N268" s="1">
        <v>45860</v>
      </c>
      <c r="T268">
        <f>O268+P268+S268</f>
        <v>0</v>
      </c>
    </row>
    <row r="269" spans="1:21">
      <c r="A269">
        <v>20</v>
      </c>
      <c r="B269" t="s">
        <v>38</v>
      </c>
      <c r="C269" s="1">
        <v>45859</v>
      </c>
      <c r="I269">
        <f t="shared" ref="I269" si="36">D269+E269+H269</f>
        <v>0</v>
      </c>
      <c r="J269" t="s">
        <v>19</v>
      </c>
      <c r="L269">
        <v>20</v>
      </c>
      <c r="M269" t="s">
        <v>38</v>
      </c>
      <c r="N269" s="1">
        <v>45860</v>
      </c>
      <c r="T269">
        <f t="shared" ref="T269" si="37">O269+P269+S269</f>
        <v>0</v>
      </c>
      <c r="U269" t="s">
        <v>19</v>
      </c>
    </row>
    <row r="270" spans="1:21">
      <c r="B270" t="s">
        <v>9</v>
      </c>
      <c r="D270">
        <f>D250+D251+D252+D253+D254+D255+D257+D256+D258+D259+D260+D261+D262+D263+D265+D267</f>
        <v>1369</v>
      </c>
      <c r="E270">
        <f>SUM(E250:E269)</f>
        <v>1575</v>
      </c>
      <c r="I270">
        <f>I250+I251+I252+I253+I254+I255+I256+I257+I258+I259+I260+I261+I262+I263+I264+I265+I266+I267+I268+I269</f>
        <v>3378</v>
      </c>
      <c r="M270" t="s">
        <v>9</v>
      </c>
      <c r="O270">
        <f>O250+O251+O252+O253+O254+O255+O257+O256+O258+O259+O260+O261+O262+O263+O265+O267</f>
        <v>806</v>
      </c>
      <c r="P270">
        <f>SUM(P250:P269)</f>
        <v>676</v>
      </c>
      <c r="T270">
        <f>T250+T251+T252+T253+T254+T255+T256+T257+T258+T259+T260+T261+T262+T263+T264+T265+T266+T267+T268+T269</f>
        <v>1561</v>
      </c>
    </row>
    <row r="272" spans="1:21">
      <c r="B272" t="s">
        <v>0</v>
      </c>
      <c r="C272" t="s">
        <v>50</v>
      </c>
      <c r="M272" t="s">
        <v>0</v>
      </c>
      <c r="N272" t="s">
        <v>50</v>
      </c>
    </row>
    <row r="273" spans="1:21">
      <c r="A273" t="s">
        <v>1</v>
      </c>
      <c r="B273" t="s">
        <v>2</v>
      </c>
      <c r="C273" t="s">
        <v>3</v>
      </c>
      <c r="D273" t="s">
        <v>4</v>
      </c>
      <c r="E273" t="s">
        <v>5</v>
      </c>
      <c r="F273" t="s">
        <v>6</v>
      </c>
      <c r="G273" t="s">
        <v>7</v>
      </c>
      <c r="H273" t="s">
        <v>8</v>
      </c>
      <c r="I273" t="s">
        <v>9</v>
      </c>
      <c r="J273" t="s">
        <v>10</v>
      </c>
      <c r="L273" t="s">
        <v>1</v>
      </c>
      <c r="M273" t="s">
        <v>2</v>
      </c>
      <c r="N273" t="s">
        <v>3</v>
      </c>
      <c r="O273" t="s">
        <v>4</v>
      </c>
      <c r="P273" t="s">
        <v>5</v>
      </c>
      <c r="Q273" t="s">
        <v>6</v>
      </c>
      <c r="R273" t="s">
        <v>7</v>
      </c>
      <c r="S273" t="s">
        <v>8</v>
      </c>
      <c r="T273" t="s">
        <v>9</v>
      </c>
      <c r="U273" t="s">
        <v>10</v>
      </c>
    </row>
    <row r="274" spans="1:21">
      <c r="A274">
        <v>1</v>
      </c>
      <c r="B274" t="s">
        <v>11</v>
      </c>
      <c r="C274" s="1">
        <v>45861</v>
      </c>
      <c r="D274">
        <v>17</v>
      </c>
      <c r="E274">
        <v>7</v>
      </c>
      <c r="F274">
        <v>0</v>
      </c>
      <c r="G274">
        <v>0</v>
      </c>
      <c r="H274">
        <v>0</v>
      </c>
      <c r="I274">
        <f>D274+E274+H274</f>
        <v>24</v>
      </c>
      <c r="J274" t="s">
        <v>12</v>
      </c>
      <c r="L274">
        <v>1</v>
      </c>
      <c r="M274" t="s">
        <v>11</v>
      </c>
      <c r="N274" s="1">
        <v>45862</v>
      </c>
      <c r="O274">
        <v>13</v>
      </c>
      <c r="P274">
        <v>5</v>
      </c>
      <c r="Q274">
        <v>0</v>
      </c>
      <c r="R274">
        <v>0</v>
      </c>
      <c r="S274">
        <v>0</v>
      </c>
      <c r="T274">
        <f>O274+P274+S274</f>
        <v>18</v>
      </c>
      <c r="U274" t="s">
        <v>12</v>
      </c>
    </row>
    <row r="275" spans="1:21">
      <c r="A275">
        <v>2</v>
      </c>
      <c r="B275" t="s">
        <v>13</v>
      </c>
      <c r="C275" s="1">
        <v>45861</v>
      </c>
      <c r="D275">
        <v>13</v>
      </c>
      <c r="E275">
        <v>6</v>
      </c>
      <c r="F275">
        <v>1</v>
      </c>
      <c r="G275">
        <v>0</v>
      </c>
      <c r="H275">
        <v>1</v>
      </c>
      <c r="I275">
        <f>D275+E275+H275</f>
        <v>20</v>
      </c>
      <c r="J275" t="s">
        <v>14</v>
      </c>
      <c r="L275">
        <v>2</v>
      </c>
      <c r="M275" t="s">
        <v>13</v>
      </c>
      <c r="N275" s="1">
        <v>45862</v>
      </c>
      <c r="O275">
        <v>17</v>
      </c>
      <c r="P275">
        <v>5</v>
      </c>
      <c r="Q275">
        <v>1</v>
      </c>
      <c r="R275">
        <v>0</v>
      </c>
      <c r="S275">
        <v>1</v>
      </c>
      <c r="T275">
        <f>O275+P275+S275</f>
        <v>23</v>
      </c>
      <c r="U275" t="s">
        <v>14</v>
      </c>
    </row>
    <row r="276" spans="1:21">
      <c r="A276">
        <v>3</v>
      </c>
      <c r="B276" t="s">
        <v>15</v>
      </c>
      <c r="C276" s="1">
        <v>45861</v>
      </c>
      <c r="D276">
        <v>38</v>
      </c>
      <c r="E276">
        <v>26</v>
      </c>
      <c r="H276">
        <v>0</v>
      </c>
      <c r="I276">
        <f>SUM(D276,E276,H276)</f>
        <v>64</v>
      </c>
      <c r="J276" t="s">
        <v>16</v>
      </c>
      <c r="L276">
        <v>3</v>
      </c>
      <c r="M276" t="s">
        <v>15</v>
      </c>
      <c r="N276" s="1">
        <v>45862</v>
      </c>
      <c r="O276">
        <v>32</v>
      </c>
      <c r="P276">
        <v>27</v>
      </c>
      <c r="S276">
        <v>0</v>
      </c>
      <c r="T276">
        <f>SUM(O276,P276,S276)</f>
        <v>59</v>
      </c>
      <c r="U276" t="s">
        <v>16</v>
      </c>
    </row>
    <row r="277" spans="1:21">
      <c r="A277">
        <v>4</v>
      </c>
      <c r="B277" t="s">
        <v>17</v>
      </c>
      <c r="C277" s="1">
        <v>45861</v>
      </c>
      <c r="D277">
        <v>18</v>
      </c>
      <c r="E277">
        <v>8</v>
      </c>
      <c r="F277">
        <v>0</v>
      </c>
      <c r="G277">
        <v>0</v>
      </c>
      <c r="H277">
        <v>0</v>
      </c>
      <c r="I277">
        <f t="shared" ref="I277:I291" si="38">D277+E277+H277</f>
        <v>26</v>
      </c>
      <c r="J277" t="s">
        <v>14</v>
      </c>
      <c r="L277">
        <v>4</v>
      </c>
      <c r="M277" t="s">
        <v>17</v>
      </c>
      <c r="N277" s="1">
        <v>45862</v>
      </c>
      <c r="O277">
        <v>18</v>
      </c>
      <c r="P277">
        <v>3</v>
      </c>
      <c r="Q277">
        <v>0</v>
      </c>
      <c r="R277">
        <v>0</v>
      </c>
      <c r="S277">
        <v>217</v>
      </c>
      <c r="T277">
        <v>368</v>
      </c>
      <c r="U277" t="s">
        <v>14</v>
      </c>
    </row>
    <row r="278" spans="1:21">
      <c r="A278">
        <v>5</v>
      </c>
      <c r="B278" t="s">
        <v>18</v>
      </c>
      <c r="C278" s="1">
        <v>45861</v>
      </c>
      <c r="I278">
        <f t="shared" si="38"/>
        <v>0</v>
      </c>
      <c r="J278" t="s">
        <v>19</v>
      </c>
      <c r="L278">
        <v>5</v>
      </c>
      <c r="M278" t="s">
        <v>18</v>
      </c>
      <c r="N278" s="1">
        <v>45862</v>
      </c>
      <c r="O278">
        <v>231</v>
      </c>
      <c r="P278">
        <v>394</v>
      </c>
      <c r="S278">
        <v>172</v>
      </c>
      <c r="T278">
        <f t="shared" ref="T278:T291" si="39">O278+P278+S278</f>
        <v>797</v>
      </c>
      <c r="U278" t="s">
        <v>19</v>
      </c>
    </row>
    <row r="279" spans="1:21">
      <c r="A279">
        <v>6</v>
      </c>
      <c r="B279" t="s">
        <v>20</v>
      </c>
      <c r="C279" s="1">
        <v>45861</v>
      </c>
      <c r="D279">
        <v>77</v>
      </c>
      <c r="E279">
        <v>43</v>
      </c>
      <c r="H279">
        <v>0</v>
      </c>
      <c r="I279">
        <f t="shared" si="38"/>
        <v>120</v>
      </c>
      <c r="J279" t="s">
        <v>21</v>
      </c>
      <c r="L279">
        <v>6</v>
      </c>
      <c r="M279" t="s">
        <v>20</v>
      </c>
      <c r="N279" s="1">
        <v>45862</v>
      </c>
      <c r="O279">
        <v>93</v>
      </c>
      <c r="P279">
        <v>99</v>
      </c>
      <c r="S279">
        <v>0</v>
      </c>
      <c r="T279">
        <f t="shared" si="39"/>
        <v>192</v>
      </c>
      <c r="U279" t="s">
        <v>21</v>
      </c>
    </row>
    <row r="280" spans="1:21">
      <c r="A280">
        <v>7</v>
      </c>
      <c r="B280" t="s">
        <v>22</v>
      </c>
      <c r="C280" s="1">
        <v>45861</v>
      </c>
      <c r="I280">
        <f t="shared" si="38"/>
        <v>0</v>
      </c>
      <c r="J280" t="s">
        <v>14</v>
      </c>
      <c r="L280">
        <v>7</v>
      </c>
      <c r="M280" t="s">
        <v>22</v>
      </c>
      <c r="N280" s="1">
        <v>45862</v>
      </c>
      <c r="T280">
        <f t="shared" si="39"/>
        <v>0</v>
      </c>
      <c r="U280" t="s">
        <v>14</v>
      </c>
    </row>
    <row r="281" spans="1:21">
      <c r="A281">
        <v>8</v>
      </c>
      <c r="B281" t="s">
        <v>23</v>
      </c>
      <c r="C281" s="1">
        <v>45861</v>
      </c>
      <c r="D281">
        <v>22</v>
      </c>
      <c r="E281">
        <v>14</v>
      </c>
      <c r="F281">
        <v>3</v>
      </c>
      <c r="G281">
        <v>3</v>
      </c>
      <c r="H281">
        <v>6</v>
      </c>
      <c r="I281">
        <f t="shared" si="38"/>
        <v>42</v>
      </c>
      <c r="J281" t="s">
        <v>12</v>
      </c>
      <c r="L281">
        <v>8</v>
      </c>
      <c r="M281" t="s">
        <v>23</v>
      </c>
      <c r="N281" s="1">
        <v>45862</v>
      </c>
      <c r="T281">
        <f t="shared" si="39"/>
        <v>0</v>
      </c>
      <c r="U281" t="s">
        <v>12</v>
      </c>
    </row>
    <row r="282" spans="1:21">
      <c r="A282">
        <v>9</v>
      </c>
      <c r="B282" t="s">
        <v>24</v>
      </c>
      <c r="C282" s="1">
        <v>45861</v>
      </c>
      <c r="D282">
        <v>46</v>
      </c>
      <c r="E282">
        <v>14</v>
      </c>
      <c r="H282">
        <v>5</v>
      </c>
      <c r="I282">
        <f t="shared" si="38"/>
        <v>65</v>
      </c>
      <c r="J282" t="s">
        <v>25</v>
      </c>
      <c r="L282">
        <v>9</v>
      </c>
      <c r="M282" t="s">
        <v>24</v>
      </c>
      <c r="N282" s="1">
        <v>45862</v>
      </c>
      <c r="O282">
        <v>45</v>
      </c>
      <c r="P282">
        <v>18</v>
      </c>
      <c r="S282">
        <v>6</v>
      </c>
      <c r="T282">
        <f t="shared" si="39"/>
        <v>69</v>
      </c>
      <c r="U282" t="s">
        <v>25</v>
      </c>
    </row>
    <row r="283" spans="1:21">
      <c r="A283">
        <v>10</v>
      </c>
      <c r="B283" t="s">
        <v>26</v>
      </c>
      <c r="C283" s="1">
        <v>45861</v>
      </c>
      <c r="D283">
        <v>98</v>
      </c>
      <c r="E283">
        <v>51</v>
      </c>
      <c r="H283">
        <v>21</v>
      </c>
      <c r="I283">
        <f t="shared" si="38"/>
        <v>170</v>
      </c>
      <c r="J283" t="s">
        <v>16</v>
      </c>
      <c r="L283">
        <v>10</v>
      </c>
      <c r="M283" t="s">
        <v>26</v>
      </c>
      <c r="N283" s="1">
        <v>45862</v>
      </c>
      <c r="T283">
        <f t="shared" si="39"/>
        <v>0</v>
      </c>
      <c r="U283" t="s">
        <v>16</v>
      </c>
    </row>
    <row r="284" spans="1:21">
      <c r="A284">
        <v>11</v>
      </c>
      <c r="B284" t="s">
        <v>27</v>
      </c>
      <c r="C284" s="1">
        <v>45861</v>
      </c>
      <c r="D284">
        <v>5</v>
      </c>
      <c r="E284">
        <v>0</v>
      </c>
      <c r="F284">
        <v>0</v>
      </c>
      <c r="G284">
        <v>0</v>
      </c>
      <c r="H284">
        <v>0</v>
      </c>
      <c r="I284">
        <f t="shared" si="38"/>
        <v>5</v>
      </c>
      <c r="J284" t="s">
        <v>19</v>
      </c>
      <c r="L284">
        <v>11</v>
      </c>
      <c r="M284" t="s">
        <v>27</v>
      </c>
      <c r="N284" s="1">
        <v>45862</v>
      </c>
      <c r="O284">
        <v>8</v>
      </c>
      <c r="P284">
        <v>1</v>
      </c>
      <c r="Q284">
        <v>0</v>
      </c>
      <c r="R284">
        <v>0</v>
      </c>
      <c r="S284">
        <v>0</v>
      </c>
      <c r="T284">
        <f t="shared" si="39"/>
        <v>9</v>
      </c>
      <c r="U284" t="s">
        <v>19</v>
      </c>
    </row>
    <row r="285" spans="1:21">
      <c r="A285">
        <v>12</v>
      </c>
      <c r="B285" t="s">
        <v>28</v>
      </c>
      <c r="C285" s="1">
        <v>45861</v>
      </c>
      <c r="D285">
        <v>167</v>
      </c>
      <c r="E285">
        <v>178</v>
      </c>
      <c r="F285">
        <v>19</v>
      </c>
      <c r="G285">
        <v>16</v>
      </c>
      <c r="H285">
        <v>35</v>
      </c>
      <c r="I285">
        <f t="shared" si="38"/>
        <v>380</v>
      </c>
      <c r="J285" t="s">
        <v>25</v>
      </c>
      <c r="L285">
        <v>12</v>
      </c>
      <c r="M285" t="s">
        <v>28</v>
      </c>
      <c r="N285" s="1">
        <v>45862</v>
      </c>
      <c r="O285">
        <v>201</v>
      </c>
      <c r="P285">
        <v>199</v>
      </c>
      <c r="Q285">
        <v>23</v>
      </c>
      <c r="R285">
        <v>18</v>
      </c>
      <c r="S285">
        <v>41</v>
      </c>
      <c r="T285">
        <f t="shared" si="39"/>
        <v>441</v>
      </c>
      <c r="U285" t="s">
        <v>25</v>
      </c>
    </row>
    <row r="286" spans="1:21">
      <c r="A286">
        <v>13</v>
      </c>
      <c r="B286" t="s">
        <v>29</v>
      </c>
      <c r="C286" s="1">
        <v>45861</v>
      </c>
      <c r="I286">
        <f t="shared" si="38"/>
        <v>0</v>
      </c>
      <c r="J286" t="s">
        <v>30</v>
      </c>
      <c r="L286">
        <v>13</v>
      </c>
      <c r="M286" t="s">
        <v>29</v>
      </c>
      <c r="N286" s="1">
        <v>45862</v>
      </c>
      <c r="T286">
        <f t="shared" si="39"/>
        <v>0</v>
      </c>
      <c r="U286" t="s">
        <v>30</v>
      </c>
    </row>
    <row r="287" spans="1:21">
      <c r="A287">
        <v>14</v>
      </c>
      <c r="B287" t="s">
        <v>31</v>
      </c>
      <c r="C287" s="1">
        <v>45861</v>
      </c>
      <c r="I287">
        <f t="shared" si="38"/>
        <v>0</v>
      </c>
      <c r="J287" t="s">
        <v>12</v>
      </c>
      <c r="L287">
        <v>14</v>
      </c>
      <c r="M287" t="s">
        <v>31</v>
      </c>
      <c r="N287" s="1">
        <v>45862</v>
      </c>
      <c r="T287">
        <f t="shared" si="39"/>
        <v>0</v>
      </c>
      <c r="U287" t="s">
        <v>12</v>
      </c>
    </row>
    <row r="288" spans="1:21">
      <c r="A288">
        <v>15</v>
      </c>
      <c r="B288" t="s">
        <v>32</v>
      </c>
      <c r="C288" s="1">
        <v>45861</v>
      </c>
      <c r="I288">
        <f t="shared" si="38"/>
        <v>0</v>
      </c>
      <c r="J288" t="s">
        <v>33</v>
      </c>
      <c r="L288">
        <v>15</v>
      </c>
      <c r="M288" t="s">
        <v>32</v>
      </c>
      <c r="N288" s="1">
        <v>45862</v>
      </c>
      <c r="T288">
        <f t="shared" si="39"/>
        <v>0</v>
      </c>
      <c r="U288" t="s">
        <v>33</v>
      </c>
    </row>
    <row r="289" spans="1:21">
      <c r="A289">
        <v>16</v>
      </c>
      <c r="B289" t="s">
        <v>34</v>
      </c>
      <c r="C289" s="1">
        <v>45861</v>
      </c>
      <c r="I289">
        <f t="shared" si="38"/>
        <v>0</v>
      </c>
      <c r="J289" t="s">
        <v>21</v>
      </c>
      <c r="L289">
        <v>16</v>
      </c>
      <c r="M289" t="s">
        <v>34</v>
      </c>
      <c r="N289" s="1">
        <v>45862</v>
      </c>
      <c r="T289">
        <f t="shared" si="39"/>
        <v>0</v>
      </c>
      <c r="U289" t="s">
        <v>21</v>
      </c>
    </row>
    <row r="290" spans="1:21">
      <c r="A290">
        <v>17</v>
      </c>
      <c r="B290" t="s">
        <v>35</v>
      </c>
      <c r="C290" s="1">
        <v>45861</v>
      </c>
      <c r="I290">
        <f t="shared" si="38"/>
        <v>0</v>
      </c>
      <c r="J290" t="s">
        <v>33</v>
      </c>
      <c r="L290">
        <v>17</v>
      </c>
      <c r="M290" t="s">
        <v>35</v>
      </c>
      <c r="N290" s="1">
        <v>45862</v>
      </c>
      <c r="T290">
        <f t="shared" si="39"/>
        <v>0</v>
      </c>
      <c r="U290" t="s">
        <v>33</v>
      </c>
    </row>
    <row r="291" spans="1:21">
      <c r="A291">
        <v>18</v>
      </c>
      <c r="B291" t="s">
        <v>36</v>
      </c>
      <c r="C291" s="1">
        <v>45861</v>
      </c>
      <c r="D291">
        <v>283</v>
      </c>
      <c r="E291">
        <v>291</v>
      </c>
      <c r="H291">
        <v>0</v>
      </c>
      <c r="I291">
        <f t="shared" si="38"/>
        <v>574</v>
      </c>
      <c r="J291" t="s">
        <v>33</v>
      </c>
      <c r="L291">
        <v>18</v>
      </c>
      <c r="M291" t="s">
        <v>36</v>
      </c>
      <c r="N291" s="1">
        <v>45862</v>
      </c>
      <c r="O291">
        <v>225</v>
      </c>
      <c r="P291">
        <v>232</v>
      </c>
      <c r="S291">
        <v>0</v>
      </c>
      <c r="T291">
        <f t="shared" si="39"/>
        <v>457</v>
      </c>
      <c r="U291" t="s">
        <v>33</v>
      </c>
    </row>
    <row r="292" spans="1:21">
      <c r="A292">
        <v>19</v>
      </c>
      <c r="B292" t="s">
        <v>37</v>
      </c>
      <c r="C292" s="1">
        <v>45861</v>
      </c>
      <c r="I292">
        <f>D292+E292+H292</f>
        <v>0</v>
      </c>
      <c r="L292">
        <v>19</v>
      </c>
      <c r="M292" t="s">
        <v>37</v>
      </c>
      <c r="N292" s="1">
        <v>45862</v>
      </c>
      <c r="T292">
        <f>O292+P292+S292</f>
        <v>0</v>
      </c>
    </row>
    <row r="293" spans="1:21">
      <c r="A293">
        <v>20</v>
      </c>
      <c r="B293" t="s">
        <v>38</v>
      </c>
      <c r="C293" s="1">
        <v>45861</v>
      </c>
      <c r="I293">
        <f t="shared" ref="I293" si="40">D293+E293+H293</f>
        <v>0</v>
      </c>
      <c r="J293" t="s">
        <v>19</v>
      </c>
      <c r="L293">
        <v>20</v>
      </c>
      <c r="M293" t="s">
        <v>38</v>
      </c>
      <c r="N293" s="1">
        <v>45862</v>
      </c>
      <c r="T293">
        <f t="shared" ref="T293" si="41">O293+P293+S293</f>
        <v>0</v>
      </c>
      <c r="U293" t="s">
        <v>19</v>
      </c>
    </row>
    <row r="294" spans="1:21">
      <c r="B294" t="s">
        <v>9</v>
      </c>
      <c r="D294">
        <f>D274+D275+D276+D277+D278+D279+D281+D280+D282+D283+D284+D285+D286+D287+D289+D291</f>
        <v>784</v>
      </c>
      <c r="E294">
        <f>SUM(E274:E293)</f>
        <v>638</v>
      </c>
      <c r="I294">
        <f>I274+I275+I276+I277+I278+I279+I280+I281+I282+I283+I284+I285+I286+I287+I288+I289+I290+I291+I292+I293</f>
        <v>1490</v>
      </c>
      <c r="M294" t="s">
        <v>9</v>
      </c>
      <c r="O294">
        <f>O274+O275+O276+O277+O278+O279+O281+O280+O282+O283+O284+O285+O286+O287+O289+O291</f>
        <v>883</v>
      </c>
      <c r="P294">
        <f>SUM(P274:P293)</f>
        <v>983</v>
      </c>
      <c r="T294">
        <f>T274+T275+T276+T277+T278+T279+T280+T281+T282+T283+T284+T285+T286+T287+T288+T289+T290+T291+T292+T293</f>
        <v>2433</v>
      </c>
    </row>
    <row r="297" spans="1:21">
      <c r="B297" t="s">
        <v>0</v>
      </c>
      <c r="C297" t="s">
        <v>50</v>
      </c>
      <c r="M297" t="s">
        <v>0</v>
      </c>
      <c r="N297" t="s">
        <v>50</v>
      </c>
    </row>
    <row r="298" spans="1:21">
      <c r="A298" t="s">
        <v>1</v>
      </c>
      <c r="B298" t="s">
        <v>2</v>
      </c>
      <c r="C298" t="s">
        <v>3</v>
      </c>
      <c r="D298" t="s">
        <v>4</v>
      </c>
      <c r="E298" t="s">
        <v>5</v>
      </c>
      <c r="F298" t="s">
        <v>6</v>
      </c>
      <c r="G298" t="s">
        <v>7</v>
      </c>
      <c r="H298" t="s">
        <v>8</v>
      </c>
      <c r="I298" t="s">
        <v>9</v>
      </c>
      <c r="J298" t="s">
        <v>10</v>
      </c>
      <c r="L298" t="s">
        <v>1</v>
      </c>
      <c r="M298" t="s">
        <v>2</v>
      </c>
      <c r="N298" t="s">
        <v>3</v>
      </c>
      <c r="O298" t="s">
        <v>4</v>
      </c>
      <c r="P298" t="s">
        <v>5</v>
      </c>
      <c r="Q298" t="s">
        <v>6</v>
      </c>
      <c r="R298" t="s">
        <v>7</v>
      </c>
      <c r="S298" t="s">
        <v>8</v>
      </c>
      <c r="T298" t="s">
        <v>9</v>
      </c>
      <c r="U298" t="s">
        <v>10</v>
      </c>
    </row>
    <row r="299" spans="1:21">
      <c r="A299">
        <v>1</v>
      </c>
      <c r="B299" t="s">
        <v>11</v>
      </c>
      <c r="C299" s="1">
        <v>45863</v>
      </c>
      <c r="I299">
        <f>D299+E299+H299</f>
        <v>0</v>
      </c>
      <c r="J299" t="s">
        <v>12</v>
      </c>
      <c r="L299">
        <v>1</v>
      </c>
      <c r="M299" t="s">
        <v>11</v>
      </c>
      <c r="N299" s="1">
        <v>45864</v>
      </c>
      <c r="O299">
        <v>32</v>
      </c>
      <c r="P299">
        <v>40</v>
      </c>
      <c r="Q299">
        <v>3</v>
      </c>
      <c r="R299">
        <v>6</v>
      </c>
      <c r="S299">
        <v>9</v>
      </c>
      <c r="T299">
        <f>O299+P299+S299</f>
        <v>81</v>
      </c>
      <c r="U299" t="s">
        <v>12</v>
      </c>
    </row>
    <row r="300" spans="1:21">
      <c r="A300">
        <v>2</v>
      </c>
      <c r="B300" t="s">
        <v>13</v>
      </c>
      <c r="C300" s="1">
        <v>45863</v>
      </c>
      <c r="D300">
        <v>11</v>
      </c>
      <c r="E300">
        <v>5</v>
      </c>
      <c r="F300">
        <v>0</v>
      </c>
      <c r="G300">
        <v>1</v>
      </c>
      <c r="H300">
        <v>1</v>
      </c>
      <c r="I300">
        <f>D300+E300+H300</f>
        <v>17</v>
      </c>
      <c r="J300" t="s">
        <v>14</v>
      </c>
      <c r="L300">
        <v>2</v>
      </c>
      <c r="M300" t="s">
        <v>13</v>
      </c>
      <c r="N300" s="1">
        <v>45864</v>
      </c>
      <c r="O300">
        <v>14</v>
      </c>
      <c r="P300">
        <v>2</v>
      </c>
      <c r="Q300">
        <v>0</v>
      </c>
      <c r="R300">
        <v>0</v>
      </c>
      <c r="S300">
        <v>0</v>
      </c>
      <c r="T300">
        <f>O300+P300+S300</f>
        <v>16</v>
      </c>
      <c r="U300" t="s">
        <v>14</v>
      </c>
    </row>
    <row r="301" spans="1:21">
      <c r="A301">
        <v>3</v>
      </c>
      <c r="B301" t="s">
        <v>15</v>
      </c>
      <c r="C301" s="1">
        <v>45863</v>
      </c>
      <c r="I301">
        <f>SUM(D301,E301,H301)</f>
        <v>0</v>
      </c>
      <c r="J301" t="s">
        <v>16</v>
      </c>
      <c r="L301">
        <v>3</v>
      </c>
      <c r="M301" t="s">
        <v>15</v>
      </c>
      <c r="N301" s="1">
        <v>45864</v>
      </c>
      <c r="O301">
        <v>45</v>
      </c>
      <c r="P301">
        <v>35</v>
      </c>
      <c r="S301">
        <v>0</v>
      </c>
      <c r="T301">
        <f>SUM(O301,P301,S301)</f>
        <v>80</v>
      </c>
      <c r="U301" t="s">
        <v>16</v>
      </c>
    </row>
    <row r="302" spans="1:21">
      <c r="A302">
        <v>4</v>
      </c>
      <c r="B302" t="s">
        <v>17</v>
      </c>
      <c r="C302" s="1">
        <v>45863</v>
      </c>
      <c r="D302">
        <v>20</v>
      </c>
      <c r="E302">
        <v>11</v>
      </c>
      <c r="F302">
        <v>0</v>
      </c>
      <c r="G302">
        <v>0</v>
      </c>
      <c r="H302">
        <v>0</v>
      </c>
      <c r="I302">
        <v>368</v>
      </c>
      <c r="J302" t="s">
        <v>14</v>
      </c>
      <c r="L302">
        <v>4</v>
      </c>
      <c r="M302" t="s">
        <v>17</v>
      </c>
      <c r="N302" s="1">
        <v>45864</v>
      </c>
      <c r="O302">
        <v>29</v>
      </c>
      <c r="P302">
        <v>3</v>
      </c>
      <c r="S302">
        <v>1</v>
      </c>
      <c r="T302">
        <v>368</v>
      </c>
      <c r="U302" t="s">
        <v>14</v>
      </c>
    </row>
    <row r="303" spans="1:21">
      <c r="A303">
        <v>5</v>
      </c>
      <c r="B303" t="s">
        <v>18</v>
      </c>
      <c r="C303" s="1">
        <v>45863</v>
      </c>
      <c r="D303">
        <v>272</v>
      </c>
      <c r="E303">
        <v>496</v>
      </c>
      <c r="H303">
        <v>196</v>
      </c>
      <c r="I303">
        <f t="shared" ref="I303:I316" si="42">D303+E303+H303</f>
        <v>964</v>
      </c>
      <c r="J303" t="s">
        <v>19</v>
      </c>
      <c r="L303">
        <v>5</v>
      </c>
      <c r="M303" t="s">
        <v>18</v>
      </c>
      <c r="N303" s="1">
        <v>45864</v>
      </c>
      <c r="O303">
        <v>310</v>
      </c>
      <c r="P303">
        <v>479</v>
      </c>
      <c r="S303">
        <v>177</v>
      </c>
      <c r="T303">
        <f t="shared" ref="T303:T316" si="43">O303+P303+S303</f>
        <v>966</v>
      </c>
      <c r="U303" t="s">
        <v>19</v>
      </c>
    </row>
    <row r="304" spans="1:21">
      <c r="A304">
        <v>6</v>
      </c>
      <c r="B304" t="s">
        <v>20</v>
      </c>
      <c r="C304" s="1">
        <v>45863</v>
      </c>
      <c r="D304">
        <v>132</v>
      </c>
      <c r="E304">
        <v>87</v>
      </c>
      <c r="H304">
        <v>0</v>
      </c>
      <c r="I304">
        <f t="shared" si="42"/>
        <v>219</v>
      </c>
      <c r="J304" t="s">
        <v>21</v>
      </c>
      <c r="L304">
        <v>6</v>
      </c>
      <c r="M304" t="s">
        <v>20</v>
      </c>
      <c r="N304" s="1">
        <v>45864</v>
      </c>
      <c r="O304">
        <v>98</v>
      </c>
      <c r="P304">
        <v>60</v>
      </c>
      <c r="S304">
        <v>0</v>
      </c>
      <c r="T304">
        <f t="shared" si="43"/>
        <v>158</v>
      </c>
      <c r="U304" t="s">
        <v>21</v>
      </c>
    </row>
    <row r="305" spans="1:21">
      <c r="A305">
        <v>7</v>
      </c>
      <c r="B305" t="s">
        <v>22</v>
      </c>
      <c r="C305" s="1">
        <v>45863</v>
      </c>
      <c r="D305">
        <v>55</v>
      </c>
      <c r="E305">
        <v>44</v>
      </c>
      <c r="H305">
        <v>12</v>
      </c>
      <c r="I305">
        <f t="shared" si="42"/>
        <v>111</v>
      </c>
      <c r="J305" t="s">
        <v>14</v>
      </c>
      <c r="L305">
        <v>7</v>
      </c>
      <c r="M305" t="s">
        <v>22</v>
      </c>
      <c r="N305" s="1">
        <v>45864</v>
      </c>
      <c r="O305">
        <v>64</v>
      </c>
      <c r="P305">
        <v>40</v>
      </c>
      <c r="S305">
        <v>11</v>
      </c>
      <c r="T305">
        <f t="shared" si="43"/>
        <v>115</v>
      </c>
      <c r="U305" t="s">
        <v>14</v>
      </c>
    </row>
    <row r="306" spans="1:21">
      <c r="A306">
        <v>8</v>
      </c>
      <c r="B306" t="s">
        <v>23</v>
      </c>
      <c r="C306" s="1">
        <v>45863</v>
      </c>
      <c r="D306">
        <v>156</v>
      </c>
      <c r="E306">
        <v>178</v>
      </c>
      <c r="F306">
        <v>12</v>
      </c>
      <c r="G306">
        <v>13</v>
      </c>
      <c r="H306">
        <v>25</v>
      </c>
      <c r="I306">
        <f t="shared" si="42"/>
        <v>359</v>
      </c>
      <c r="J306" t="s">
        <v>12</v>
      </c>
      <c r="L306">
        <v>8</v>
      </c>
      <c r="M306" t="s">
        <v>23</v>
      </c>
      <c r="N306" s="1">
        <v>45864</v>
      </c>
      <c r="T306">
        <f t="shared" si="43"/>
        <v>0</v>
      </c>
      <c r="U306" t="s">
        <v>12</v>
      </c>
    </row>
    <row r="307" spans="1:21">
      <c r="A307">
        <v>9</v>
      </c>
      <c r="B307" t="s">
        <v>24</v>
      </c>
      <c r="C307" s="1">
        <v>45863</v>
      </c>
      <c r="D307">
        <v>29</v>
      </c>
      <c r="E307">
        <v>9</v>
      </c>
      <c r="H307">
        <v>4</v>
      </c>
      <c r="I307">
        <f t="shared" si="42"/>
        <v>42</v>
      </c>
      <c r="J307" t="s">
        <v>25</v>
      </c>
      <c r="L307">
        <v>9</v>
      </c>
      <c r="M307" t="s">
        <v>24</v>
      </c>
      <c r="N307" s="1">
        <v>45864</v>
      </c>
      <c r="O307">
        <v>34</v>
      </c>
      <c r="P307">
        <v>12</v>
      </c>
      <c r="S307">
        <v>8</v>
      </c>
      <c r="T307">
        <f t="shared" si="43"/>
        <v>54</v>
      </c>
      <c r="U307" t="s">
        <v>25</v>
      </c>
    </row>
    <row r="308" spans="1:21">
      <c r="A308">
        <v>10</v>
      </c>
      <c r="B308" t="s">
        <v>26</v>
      </c>
      <c r="C308" s="1">
        <v>45863</v>
      </c>
      <c r="D308">
        <v>103</v>
      </c>
      <c r="E308">
        <v>2</v>
      </c>
      <c r="H308">
        <v>20</v>
      </c>
      <c r="I308">
        <f t="shared" si="42"/>
        <v>125</v>
      </c>
      <c r="J308" t="s">
        <v>16</v>
      </c>
      <c r="L308">
        <v>10</v>
      </c>
      <c r="M308" t="s">
        <v>26</v>
      </c>
      <c r="N308" s="1">
        <v>45864</v>
      </c>
      <c r="O308">
        <v>169</v>
      </c>
      <c r="P308">
        <v>80</v>
      </c>
      <c r="S308">
        <v>34</v>
      </c>
      <c r="T308">
        <f t="shared" si="43"/>
        <v>283</v>
      </c>
      <c r="U308" t="s">
        <v>16</v>
      </c>
    </row>
    <row r="309" spans="1:21">
      <c r="A309">
        <v>11</v>
      </c>
      <c r="B309" t="s">
        <v>27</v>
      </c>
      <c r="C309" s="1">
        <v>45863</v>
      </c>
      <c r="D309">
        <v>6</v>
      </c>
      <c r="E309">
        <v>2</v>
      </c>
      <c r="F309">
        <v>0</v>
      </c>
      <c r="G309">
        <v>0</v>
      </c>
      <c r="H309">
        <v>0</v>
      </c>
      <c r="I309">
        <f t="shared" si="42"/>
        <v>8</v>
      </c>
      <c r="J309" t="s">
        <v>19</v>
      </c>
      <c r="L309">
        <v>11</v>
      </c>
      <c r="M309" t="s">
        <v>27</v>
      </c>
      <c r="N309" s="1">
        <v>45864</v>
      </c>
      <c r="O309">
        <v>3</v>
      </c>
      <c r="P309">
        <v>1</v>
      </c>
      <c r="Q309">
        <v>0</v>
      </c>
      <c r="R309">
        <v>0</v>
      </c>
      <c r="S309">
        <v>0</v>
      </c>
      <c r="T309">
        <f t="shared" si="43"/>
        <v>4</v>
      </c>
      <c r="U309" t="s">
        <v>19</v>
      </c>
    </row>
    <row r="310" spans="1:21">
      <c r="A310">
        <v>12</v>
      </c>
      <c r="B310" t="s">
        <v>28</v>
      </c>
      <c r="C310" s="1">
        <v>45863</v>
      </c>
      <c r="D310">
        <v>193</v>
      </c>
      <c r="E310">
        <v>198</v>
      </c>
      <c r="F310">
        <v>20</v>
      </c>
      <c r="G310">
        <v>23</v>
      </c>
      <c r="H310">
        <v>43</v>
      </c>
      <c r="I310">
        <f t="shared" si="42"/>
        <v>434</v>
      </c>
      <c r="J310" t="s">
        <v>25</v>
      </c>
      <c r="L310">
        <v>12</v>
      </c>
      <c r="M310" t="s">
        <v>28</v>
      </c>
      <c r="N310" s="1">
        <v>45864</v>
      </c>
      <c r="O310">
        <v>188</v>
      </c>
      <c r="P310">
        <v>196</v>
      </c>
      <c r="Q310">
        <v>19</v>
      </c>
      <c r="R310">
        <v>24</v>
      </c>
      <c r="S310">
        <v>43</v>
      </c>
      <c r="T310">
        <f t="shared" si="43"/>
        <v>427</v>
      </c>
      <c r="U310" t="s">
        <v>25</v>
      </c>
    </row>
    <row r="311" spans="1:21">
      <c r="A311">
        <v>13</v>
      </c>
      <c r="B311" t="s">
        <v>29</v>
      </c>
      <c r="C311" s="1">
        <v>45863</v>
      </c>
      <c r="I311">
        <f t="shared" si="42"/>
        <v>0</v>
      </c>
      <c r="J311" t="s">
        <v>30</v>
      </c>
      <c r="L311">
        <v>13</v>
      </c>
      <c r="M311" t="s">
        <v>29</v>
      </c>
      <c r="N311" s="1">
        <v>45864</v>
      </c>
      <c r="O311">
        <v>18</v>
      </c>
      <c r="P311">
        <v>21</v>
      </c>
      <c r="S311">
        <v>0</v>
      </c>
      <c r="T311">
        <f t="shared" si="43"/>
        <v>39</v>
      </c>
      <c r="U311" t="s">
        <v>30</v>
      </c>
    </row>
    <row r="312" spans="1:21">
      <c r="A312">
        <v>14</v>
      </c>
      <c r="B312" t="s">
        <v>31</v>
      </c>
      <c r="C312" s="1">
        <v>45863</v>
      </c>
      <c r="D312">
        <v>29</v>
      </c>
      <c r="E312">
        <v>57</v>
      </c>
      <c r="F312">
        <v>5</v>
      </c>
      <c r="G312">
        <v>4</v>
      </c>
      <c r="H312">
        <v>9</v>
      </c>
      <c r="I312">
        <f t="shared" si="42"/>
        <v>95</v>
      </c>
      <c r="J312" t="s">
        <v>12</v>
      </c>
      <c r="L312">
        <v>14</v>
      </c>
      <c r="M312" t="s">
        <v>31</v>
      </c>
      <c r="N312" s="1">
        <v>45864</v>
      </c>
      <c r="O312">
        <v>26</v>
      </c>
      <c r="P312">
        <v>26</v>
      </c>
      <c r="Q312">
        <v>4</v>
      </c>
      <c r="R312">
        <v>2</v>
      </c>
      <c r="S312">
        <v>6</v>
      </c>
      <c r="T312">
        <f t="shared" si="43"/>
        <v>58</v>
      </c>
      <c r="U312" t="s">
        <v>12</v>
      </c>
    </row>
    <row r="313" spans="1:21">
      <c r="A313">
        <v>15</v>
      </c>
      <c r="B313" t="s">
        <v>32</v>
      </c>
      <c r="C313" s="1">
        <v>45863</v>
      </c>
      <c r="I313">
        <f t="shared" si="42"/>
        <v>0</v>
      </c>
      <c r="J313" t="s">
        <v>33</v>
      </c>
      <c r="L313">
        <v>15</v>
      </c>
      <c r="M313" t="s">
        <v>32</v>
      </c>
      <c r="N313" s="1">
        <v>45864</v>
      </c>
      <c r="T313">
        <f t="shared" si="43"/>
        <v>0</v>
      </c>
      <c r="U313" t="s">
        <v>33</v>
      </c>
    </row>
    <row r="314" spans="1:21">
      <c r="A314">
        <v>16</v>
      </c>
      <c r="B314" t="s">
        <v>34</v>
      </c>
      <c r="C314" s="1">
        <v>45863</v>
      </c>
      <c r="D314">
        <v>17</v>
      </c>
      <c r="E314">
        <v>11</v>
      </c>
      <c r="F314">
        <v>10</v>
      </c>
      <c r="G314">
        <v>1</v>
      </c>
      <c r="H314">
        <v>11</v>
      </c>
      <c r="I314">
        <f t="shared" si="42"/>
        <v>39</v>
      </c>
      <c r="J314" t="s">
        <v>21</v>
      </c>
      <c r="L314">
        <v>16</v>
      </c>
      <c r="M314" t="s">
        <v>34</v>
      </c>
      <c r="N314" s="1">
        <v>45864</v>
      </c>
      <c r="T314">
        <f t="shared" si="43"/>
        <v>0</v>
      </c>
      <c r="U314" t="s">
        <v>21</v>
      </c>
    </row>
    <row r="315" spans="1:21">
      <c r="A315">
        <v>17</v>
      </c>
      <c r="B315" t="s">
        <v>35</v>
      </c>
      <c r="C315" s="1">
        <v>45863</v>
      </c>
      <c r="I315">
        <f t="shared" si="42"/>
        <v>0</v>
      </c>
      <c r="J315" t="s">
        <v>33</v>
      </c>
      <c r="L315">
        <v>17</v>
      </c>
      <c r="M315" t="s">
        <v>35</v>
      </c>
      <c r="N315" s="1">
        <v>45864</v>
      </c>
      <c r="T315">
        <f t="shared" si="43"/>
        <v>0</v>
      </c>
      <c r="U315" t="s">
        <v>33</v>
      </c>
    </row>
    <row r="316" spans="1:21">
      <c r="A316">
        <v>18</v>
      </c>
      <c r="B316" t="s">
        <v>36</v>
      </c>
      <c r="C316" s="1">
        <v>45863</v>
      </c>
      <c r="I316">
        <f t="shared" si="42"/>
        <v>0</v>
      </c>
      <c r="J316" t="s">
        <v>33</v>
      </c>
      <c r="L316">
        <v>18</v>
      </c>
      <c r="M316" t="s">
        <v>36</v>
      </c>
      <c r="N316" s="1">
        <v>45864</v>
      </c>
      <c r="O316">
        <v>423</v>
      </c>
      <c r="P316">
        <v>415</v>
      </c>
      <c r="S316">
        <v>0</v>
      </c>
      <c r="T316">
        <f t="shared" si="43"/>
        <v>838</v>
      </c>
      <c r="U316" t="s">
        <v>33</v>
      </c>
    </row>
    <row r="317" spans="1:21">
      <c r="A317">
        <v>19</v>
      </c>
      <c r="B317" t="s">
        <v>37</v>
      </c>
      <c r="C317" s="1">
        <v>45863</v>
      </c>
      <c r="I317">
        <f>D317+E317+H317</f>
        <v>0</v>
      </c>
      <c r="L317">
        <v>19</v>
      </c>
      <c r="M317" t="s">
        <v>37</v>
      </c>
      <c r="N317" s="1">
        <v>45864</v>
      </c>
      <c r="T317">
        <f>O317+P317+S317</f>
        <v>0</v>
      </c>
    </row>
    <row r="318" spans="1:21">
      <c r="A318">
        <v>20</v>
      </c>
      <c r="B318" t="s">
        <v>38</v>
      </c>
      <c r="C318" s="1">
        <v>45863</v>
      </c>
      <c r="I318">
        <f t="shared" ref="I318" si="44">D318+E318+H318</f>
        <v>0</v>
      </c>
      <c r="J318" t="s">
        <v>19</v>
      </c>
      <c r="L318">
        <v>20</v>
      </c>
      <c r="M318" t="s">
        <v>38</v>
      </c>
      <c r="N318" s="1">
        <v>45864</v>
      </c>
      <c r="T318">
        <f t="shared" ref="T318" si="45">O318+P318+S318</f>
        <v>0</v>
      </c>
      <c r="U318" t="s">
        <v>19</v>
      </c>
    </row>
    <row r="319" spans="1:21">
      <c r="A319">
        <v>21</v>
      </c>
      <c r="B319" t="s">
        <v>61</v>
      </c>
      <c r="C319" s="1">
        <v>45863</v>
      </c>
      <c r="D319">
        <v>7</v>
      </c>
      <c r="E319">
        <v>3</v>
      </c>
      <c r="F319">
        <v>0</v>
      </c>
      <c r="G319">
        <v>0</v>
      </c>
      <c r="H319">
        <v>0</v>
      </c>
      <c r="I319">
        <v>10</v>
      </c>
    </row>
    <row r="320" spans="1:21">
      <c r="B320" t="s">
        <v>9</v>
      </c>
      <c r="D320">
        <f>D299+D300+D301+D302+D303+D304+D306+D305+D307+D308+D309+D310+D311+D312+D314+D316</f>
        <v>1023</v>
      </c>
      <c r="E320">
        <f>SUM(E299:E318)</f>
        <v>1100</v>
      </c>
      <c r="I320">
        <f>I299+I300+I301+I302+I303+I304+I305+I306+I307+I308+I309+I310+I311+I312+I313+I314+I315+I316+I317+I318</f>
        <v>2781</v>
      </c>
      <c r="M320" t="s">
        <v>9</v>
      </c>
      <c r="O320">
        <f>O299+O300+O301+O302+O303+O304+O306+O305+O307+O308+O309+O310+O311+O312+O314+O316</f>
        <v>1453</v>
      </c>
      <c r="P320">
        <f>SUM(P299:P318)</f>
        <v>1410</v>
      </c>
      <c r="T320">
        <f>T299+T300+T301+T302+T303+T304+T305+T306+T307+T308+T309+T310+T311+T312+T313+T314+T315+T316+T317+T318</f>
        <v>3487</v>
      </c>
    </row>
    <row r="323" spans="1:21">
      <c r="B323" t="s">
        <v>0</v>
      </c>
      <c r="C323" t="s">
        <v>50</v>
      </c>
      <c r="M323" t="s">
        <v>0</v>
      </c>
      <c r="N323" t="s">
        <v>50</v>
      </c>
    </row>
    <row r="324" spans="1:21">
      <c r="A324" t="s">
        <v>1</v>
      </c>
      <c r="B324" t="s">
        <v>2</v>
      </c>
      <c r="C324" t="s">
        <v>3</v>
      </c>
      <c r="D324" t="s">
        <v>4</v>
      </c>
      <c r="E324" t="s">
        <v>5</v>
      </c>
      <c r="F324" t="s">
        <v>6</v>
      </c>
      <c r="G324" t="s">
        <v>7</v>
      </c>
      <c r="H324" t="s">
        <v>8</v>
      </c>
      <c r="I324" t="s">
        <v>9</v>
      </c>
      <c r="J324" t="s">
        <v>10</v>
      </c>
      <c r="L324" t="s">
        <v>1</v>
      </c>
      <c r="M324" t="s">
        <v>2</v>
      </c>
      <c r="N324" t="s">
        <v>3</v>
      </c>
      <c r="O324" t="s">
        <v>4</v>
      </c>
      <c r="P324" t="s">
        <v>5</v>
      </c>
      <c r="Q324" t="s">
        <v>6</v>
      </c>
      <c r="R324" t="s">
        <v>7</v>
      </c>
      <c r="S324" t="s">
        <v>8</v>
      </c>
      <c r="T324" t="s">
        <v>9</v>
      </c>
      <c r="U324" t="s">
        <v>10</v>
      </c>
    </row>
    <row r="325" spans="1:21">
      <c r="A325">
        <v>1</v>
      </c>
      <c r="B325" t="s">
        <v>11</v>
      </c>
      <c r="C325" s="1">
        <v>45865</v>
      </c>
      <c r="D325">
        <v>20</v>
      </c>
      <c r="E325">
        <v>20</v>
      </c>
      <c r="F325">
        <v>6</v>
      </c>
      <c r="G325">
        <v>6</v>
      </c>
      <c r="H325">
        <v>12</v>
      </c>
      <c r="I325">
        <f>D325+E325+H325</f>
        <v>52</v>
      </c>
      <c r="J325" t="s">
        <v>12</v>
      </c>
      <c r="L325">
        <v>1</v>
      </c>
      <c r="M325" t="s">
        <v>11</v>
      </c>
      <c r="N325" s="1">
        <v>45866</v>
      </c>
      <c r="O325">
        <v>37</v>
      </c>
      <c r="P325">
        <v>41</v>
      </c>
      <c r="Q325">
        <v>4</v>
      </c>
      <c r="R325">
        <v>4</v>
      </c>
      <c r="S325">
        <v>8</v>
      </c>
      <c r="T325">
        <f>O325+P325+S325</f>
        <v>86</v>
      </c>
      <c r="U325" t="s">
        <v>12</v>
      </c>
    </row>
    <row r="326" spans="1:21">
      <c r="A326">
        <v>2</v>
      </c>
      <c r="B326" t="s">
        <v>13</v>
      </c>
      <c r="C326" s="1">
        <v>45865</v>
      </c>
      <c r="D326">
        <v>12</v>
      </c>
      <c r="E326">
        <v>4</v>
      </c>
      <c r="F326">
        <v>0</v>
      </c>
      <c r="G326">
        <v>0</v>
      </c>
      <c r="H326">
        <v>0</v>
      </c>
      <c r="I326">
        <f>D326+E326+H326</f>
        <v>16</v>
      </c>
      <c r="J326" t="s">
        <v>14</v>
      </c>
      <c r="L326">
        <v>2</v>
      </c>
      <c r="M326" t="s">
        <v>13</v>
      </c>
      <c r="N326" s="1">
        <v>45866</v>
      </c>
      <c r="O326">
        <v>15</v>
      </c>
      <c r="P326">
        <v>3</v>
      </c>
      <c r="Q326">
        <v>2</v>
      </c>
      <c r="R326">
        <v>0</v>
      </c>
      <c r="S326">
        <v>0</v>
      </c>
      <c r="T326">
        <f>O326+P326+S326</f>
        <v>18</v>
      </c>
      <c r="U326" t="s">
        <v>14</v>
      </c>
    </row>
    <row r="327" spans="1:21">
      <c r="A327">
        <v>3</v>
      </c>
      <c r="B327" t="s">
        <v>15</v>
      </c>
      <c r="C327" s="1">
        <v>45865</v>
      </c>
      <c r="D327">
        <v>11</v>
      </c>
      <c r="E327">
        <v>12</v>
      </c>
      <c r="H327">
        <v>0</v>
      </c>
      <c r="I327">
        <f>SUM(D327,E327,H327)</f>
        <v>23</v>
      </c>
      <c r="J327" t="s">
        <v>16</v>
      </c>
      <c r="L327">
        <v>3</v>
      </c>
      <c r="M327" t="s">
        <v>15</v>
      </c>
      <c r="N327" s="1">
        <v>45866</v>
      </c>
      <c r="T327">
        <f>SUM(O327,P327,S327)</f>
        <v>0</v>
      </c>
      <c r="U327" t="s">
        <v>16</v>
      </c>
    </row>
    <row r="328" spans="1:21">
      <c r="A328">
        <v>4</v>
      </c>
      <c r="B328" t="s">
        <v>17</v>
      </c>
      <c r="C328" s="1">
        <v>45865</v>
      </c>
      <c r="D328">
        <v>21</v>
      </c>
      <c r="E328">
        <v>9</v>
      </c>
      <c r="H328">
        <v>1</v>
      </c>
      <c r="I328">
        <v>368</v>
      </c>
      <c r="J328" t="s">
        <v>14</v>
      </c>
      <c r="L328">
        <v>4</v>
      </c>
      <c r="M328" t="s">
        <v>17</v>
      </c>
      <c r="N328" s="1">
        <v>45866</v>
      </c>
      <c r="O328">
        <v>42</v>
      </c>
      <c r="P328">
        <v>17</v>
      </c>
      <c r="S328">
        <v>6</v>
      </c>
      <c r="T328">
        <f t="shared" ref="T328:T338" si="46">O328+P328+S328</f>
        <v>65</v>
      </c>
      <c r="U328" t="s">
        <v>14</v>
      </c>
    </row>
    <row r="329" spans="1:21">
      <c r="A329">
        <v>5</v>
      </c>
      <c r="B329" t="s">
        <v>18</v>
      </c>
      <c r="C329" s="1">
        <v>45865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f t="shared" ref="I329:I342" si="47">D329+E329+H329</f>
        <v>0</v>
      </c>
      <c r="J329" t="s">
        <v>19</v>
      </c>
      <c r="L329">
        <v>5</v>
      </c>
      <c r="M329" t="s">
        <v>18</v>
      </c>
      <c r="N329" s="1">
        <v>45866</v>
      </c>
      <c r="O329">
        <v>490</v>
      </c>
      <c r="P329">
        <v>867</v>
      </c>
      <c r="S329">
        <v>265</v>
      </c>
      <c r="T329">
        <f t="shared" si="46"/>
        <v>1622</v>
      </c>
      <c r="U329" t="s">
        <v>19</v>
      </c>
    </row>
    <row r="330" spans="1:21">
      <c r="A330">
        <v>6</v>
      </c>
      <c r="B330" t="s">
        <v>20</v>
      </c>
      <c r="C330" s="1">
        <v>45865</v>
      </c>
      <c r="D330">
        <v>85</v>
      </c>
      <c r="E330">
        <v>59</v>
      </c>
      <c r="H330">
        <v>0</v>
      </c>
      <c r="I330">
        <f t="shared" si="47"/>
        <v>144</v>
      </c>
      <c r="J330" t="s">
        <v>21</v>
      </c>
      <c r="L330">
        <v>6</v>
      </c>
      <c r="M330" t="s">
        <v>20</v>
      </c>
      <c r="N330" s="1">
        <v>45866</v>
      </c>
      <c r="O330">
        <v>75</v>
      </c>
      <c r="P330">
        <v>85</v>
      </c>
      <c r="S330">
        <v>0</v>
      </c>
      <c r="T330">
        <f t="shared" si="46"/>
        <v>160</v>
      </c>
      <c r="U330" t="s">
        <v>21</v>
      </c>
    </row>
    <row r="331" spans="1:21">
      <c r="A331">
        <v>7</v>
      </c>
      <c r="B331" t="s">
        <v>22</v>
      </c>
      <c r="C331" s="1">
        <v>45865</v>
      </c>
      <c r="D331">
        <v>90</v>
      </c>
      <c r="E331">
        <v>40</v>
      </c>
      <c r="H331">
        <v>10</v>
      </c>
      <c r="I331">
        <f t="shared" si="47"/>
        <v>140</v>
      </c>
      <c r="J331" t="s">
        <v>14</v>
      </c>
      <c r="L331">
        <v>7</v>
      </c>
      <c r="M331" t="s">
        <v>22</v>
      </c>
      <c r="N331" s="1">
        <v>45866</v>
      </c>
      <c r="O331">
        <v>89</v>
      </c>
      <c r="P331">
        <v>74</v>
      </c>
      <c r="S331">
        <v>0</v>
      </c>
      <c r="T331">
        <f t="shared" si="46"/>
        <v>163</v>
      </c>
      <c r="U331" t="s">
        <v>14</v>
      </c>
    </row>
    <row r="332" spans="1:21">
      <c r="A332">
        <v>8</v>
      </c>
      <c r="B332" t="s">
        <v>23</v>
      </c>
      <c r="C332" s="1">
        <v>45865</v>
      </c>
      <c r="D332">
        <v>107</v>
      </c>
      <c r="E332">
        <v>110</v>
      </c>
      <c r="F332">
        <v>6</v>
      </c>
      <c r="G332">
        <v>9</v>
      </c>
      <c r="H332">
        <v>15</v>
      </c>
      <c r="I332">
        <f t="shared" si="47"/>
        <v>232</v>
      </c>
      <c r="J332" t="s">
        <v>12</v>
      </c>
      <c r="L332">
        <v>8</v>
      </c>
      <c r="M332" t="s">
        <v>23</v>
      </c>
      <c r="N332" s="1">
        <v>45866</v>
      </c>
      <c r="O332">
        <v>148</v>
      </c>
      <c r="P332">
        <v>168</v>
      </c>
      <c r="Q332">
        <v>10</v>
      </c>
      <c r="R332">
        <v>13</v>
      </c>
      <c r="S332">
        <v>23</v>
      </c>
      <c r="T332">
        <f t="shared" si="46"/>
        <v>339</v>
      </c>
      <c r="U332" t="s">
        <v>12</v>
      </c>
    </row>
    <row r="333" spans="1:21">
      <c r="A333">
        <v>9</v>
      </c>
      <c r="B333" t="s">
        <v>24</v>
      </c>
      <c r="C333" s="1">
        <v>45865</v>
      </c>
      <c r="D333">
        <v>36</v>
      </c>
      <c r="E333">
        <v>14</v>
      </c>
      <c r="H333">
        <v>9</v>
      </c>
      <c r="I333">
        <f t="shared" si="47"/>
        <v>59</v>
      </c>
      <c r="J333" t="s">
        <v>25</v>
      </c>
      <c r="L333">
        <v>9</v>
      </c>
      <c r="M333" t="s">
        <v>24</v>
      </c>
      <c r="N333" s="1">
        <v>45866</v>
      </c>
      <c r="O333">
        <v>63</v>
      </c>
      <c r="P333">
        <v>20</v>
      </c>
      <c r="S333">
        <v>9</v>
      </c>
      <c r="T333">
        <f t="shared" si="46"/>
        <v>92</v>
      </c>
      <c r="U333" t="s">
        <v>25</v>
      </c>
    </row>
    <row r="334" spans="1:21">
      <c r="A334">
        <v>10</v>
      </c>
      <c r="B334" t="s">
        <v>26</v>
      </c>
      <c r="C334" s="1">
        <v>45865</v>
      </c>
      <c r="D334">
        <v>71</v>
      </c>
      <c r="E334">
        <v>55</v>
      </c>
      <c r="H334">
        <v>28</v>
      </c>
      <c r="I334">
        <f t="shared" si="47"/>
        <v>154</v>
      </c>
      <c r="J334" t="s">
        <v>16</v>
      </c>
      <c r="L334">
        <v>10</v>
      </c>
      <c r="M334" t="s">
        <v>26</v>
      </c>
      <c r="N334" s="1">
        <v>45866</v>
      </c>
      <c r="O334">
        <v>106</v>
      </c>
      <c r="P334">
        <v>137</v>
      </c>
      <c r="S334">
        <v>22</v>
      </c>
      <c r="T334">
        <f t="shared" si="46"/>
        <v>265</v>
      </c>
      <c r="U334" t="s">
        <v>16</v>
      </c>
    </row>
    <row r="335" spans="1:21">
      <c r="A335">
        <v>11</v>
      </c>
      <c r="B335" t="s">
        <v>27</v>
      </c>
      <c r="C335" s="1">
        <v>45865</v>
      </c>
      <c r="D335">
        <v>14</v>
      </c>
      <c r="E335">
        <v>2</v>
      </c>
      <c r="H335">
        <v>0</v>
      </c>
      <c r="I335">
        <f t="shared" si="47"/>
        <v>16</v>
      </c>
      <c r="J335" t="s">
        <v>19</v>
      </c>
      <c r="L335">
        <v>11</v>
      </c>
      <c r="M335" t="s">
        <v>27</v>
      </c>
      <c r="N335" s="1">
        <v>45866</v>
      </c>
      <c r="O335">
        <v>7</v>
      </c>
      <c r="P335">
        <v>3</v>
      </c>
      <c r="S335">
        <v>0</v>
      </c>
      <c r="T335">
        <f t="shared" si="46"/>
        <v>10</v>
      </c>
      <c r="U335" t="s">
        <v>19</v>
      </c>
    </row>
    <row r="336" spans="1:21">
      <c r="A336">
        <v>12</v>
      </c>
      <c r="B336" t="s">
        <v>28</v>
      </c>
      <c r="C336" s="1">
        <v>45865</v>
      </c>
      <c r="D336">
        <v>195</v>
      </c>
      <c r="E336">
        <v>201</v>
      </c>
      <c r="F336">
        <v>21</v>
      </c>
      <c r="G336">
        <v>23</v>
      </c>
      <c r="H336">
        <v>44</v>
      </c>
      <c r="I336">
        <f t="shared" si="47"/>
        <v>440</v>
      </c>
      <c r="J336" t="s">
        <v>25</v>
      </c>
      <c r="L336">
        <v>12</v>
      </c>
      <c r="M336" t="s">
        <v>28</v>
      </c>
      <c r="N336" s="1">
        <v>45866</v>
      </c>
      <c r="O336">
        <v>189</v>
      </c>
      <c r="P336">
        <v>221</v>
      </c>
      <c r="Q336">
        <v>25</v>
      </c>
      <c r="R336">
        <v>19</v>
      </c>
      <c r="S336">
        <v>44</v>
      </c>
      <c r="T336">
        <f t="shared" si="46"/>
        <v>454</v>
      </c>
      <c r="U336" t="s">
        <v>25</v>
      </c>
    </row>
    <row r="337" spans="1:21">
      <c r="A337">
        <v>13</v>
      </c>
      <c r="B337" t="s">
        <v>29</v>
      </c>
      <c r="C337" s="1">
        <v>45865</v>
      </c>
      <c r="I337">
        <f t="shared" si="47"/>
        <v>0</v>
      </c>
      <c r="J337" t="s">
        <v>30</v>
      </c>
      <c r="L337">
        <v>13</v>
      </c>
      <c r="M337" t="s">
        <v>29</v>
      </c>
      <c r="N337" s="1">
        <v>45866</v>
      </c>
      <c r="O337">
        <v>122</v>
      </c>
      <c r="P337">
        <v>104</v>
      </c>
      <c r="Q337">
        <v>11</v>
      </c>
      <c r="R337">
        <v>10</v>
      </c>
      <c r="S337">
        <v>21</v>
      </c>
      <c r="T337">
        <f t="shared" si="46"/>
        <v>247</v>
      </c>
      <c r="U337" t="s">
        <v>30</v>
      </c>
    </row>
    <row r="338" spans="1:21">
      <c r="A338">
        <v>14</v>
      </c>
      <c r="B338" t="s">
        <v>31</v>
      </c>
      <c r="C338" s="1">
        <v>45865</v>
      </c>
      <c r="I338">
        <f t="shared" si="47"/>
        <v>0</v>
      </c>
      <c r="J338" t="s">
        <v>12</v>
      </c>
      <c r="L338">
        <v>14</v>
      </c>
      <c r="M338" t="s">
        <v>31</v>
      </c>
      <c r="N338" s="1">
        <v>45866</v>
      </c>
      <c r="O338">
        <v>36</v>
      </c>
      <c r="P338">
        <v>94</v>
      </c>
      <c r="Q338">
        <v>5</v>
      </c>
      <c r="R338">
        <v>4</v>
      </c>
      <c r="S338">
        <v>9</v>
      </c>
      <c r="T338">
        <f t="shared" si="46"/>
        <v>139</v>
      </c>
      <c r="U338" t="s">
        <v>12</v>
      </c>
    </row>
    <row r="339" spans="1:21">
      <c r="A339">
        <v>15</v>
      </c>
      <c r="B339" t="s">
        <v>32</v>
      </c>
      <c r="C339" s="1">
        <v>45865</v>
      </c>
      <c r="I339">
        <f t="shared" si="47"/>
        <v>0</v>
      </c>
      <c r="J339" t="s">
        <v>33</v>
      </c>
      <c r="L339">
        <v>15</v>
      </c>
      <c r="M339" t="s">
        <v>32</v>
      </c>
      <c r="N339" s="1">
        <v>45866</v>
      </c>
      <c r="T339">
        <f t="shared" ref="T339:T342" si="48">O339+P339+S339</f>
        <v>0</v>
      </c>
      <c r="U339" t="s">
        <v>33</v>
      </c>
    </row>
    <row r="340" spans="1:21">
      <c r="A340">
        <v>16</v>
      </c>
      <c r="B340" t="s">
        <v>34</v>
      </c>
      <c r="C340" s="1">
        <v>45865</v>
      </c>
      <c r="I340">
        <f t="shared" si="47"/>
        <v>0</v>
      </c>
      <c r="J340" t="s">
        <v>21</v>
      </c>
      <c r="L340">
        <v>16</v>
      </c>
      <c r="M340" t="s">
        <v>34</v>
      </c>
      <c r="N340" s="1">
        <v>45866</v>
      </c>
      <c r="O340">
        <v>22</v>
      </c>
      <c r="P340">
        <v>13</v>
      </c>
      <c r="Q340">
        <v>0</v>
      </c>
      <c r="R340">
        <v>1</v>
      </c>
      <c r="S340">
        <v>1</v>
      </c>
      <c r="T340">
        <f>O340+P340+S340</f>
        <v>36</v>
      </c>
      <c r="U340" t="s">
        <v>21</v>
      </c>
    </row>
    <row r="341" spans="1:21">
      <c r="A341">
        <v>17</v>
      </c>
      <c r="B341" t="s">
        <v>35</v>
      </c>
      <c r="C341" s="1">
        <v>45865</v>
      </c>
      <c r="I341">
        <f t="shared" si="47"/>
        <v>0</v>
      </c>
      <c r="J341" t="s">
        <v>33</v>
      </c>
      <c r="L341">
        <v>17</v>
      </c>
      <c r="M341" t="s">
        <v>35</v>
      </c>
      <c r="N341" s="1">
        <v>45866</v>
      </c>
      <c r="T341">
        <f t="shared" si="48"/>
        <v>0</v>
      </c>
      <c r="U341" t="s">
        <v>33</v>
      </c>
    </row>
    <row r="342" spans="1:21">
      <c r="A342">
        <v>18</v>
      </c>
      <c r="B342" t="s">
        <v>36</v>
      </c>
      <c r="C342" s="1">
        <v>45865</v>
      </c>
      <c r="I342">
        <f t="shared" si="47"/>
        <v>0</v>
      </c>
      <c r="J342" t="s">
        <v>33</v>
      </c>
      <c r="L342">
        <v>18</v>
      </c>
      <c r="M342" t="s">
        <v>36</v>
      </c>
      <c r="N342" s="1">
        <v>45866</v>
      </c>
      <c r="T342">
        <f t="shared" si="48"/>
        <v>0</v>
      </c>
      <c r="U342" t="s">
        <v>33</v>
      </c>
    </row>
    <row r="343" spans="1:21">
      <c r="A343">
        <v>19</v>
      </c>
      <c r="B343" t="s">
        <v>37</v>
      </c>
      <c r="C343" s="1">
        <v>45865</v>
      </c>
      <c r="I343">
        <f>D343+E343+H343</f>
        <v>0</v>
      </c>
      <c r="L343">
        <v>19</v>
      </c>
      <c r="M343" t="s">
        <v>37</v>
      </c>
      <c r="N343" s="1">
        <v>45866</v>
      </c>
      <c r="T343">
        <f>O343+P343+S343</f>
        <v>0</v>
      </c>
    </row>
    <row r="344" spans="1:21">
      <c r="A344">
        <v>20</v>
      </c>
      <c r="B344" t="s">
        <v>38</v>
      </c>
      <c r="C344" s="1">
        <v>45865</v>
      </c>
      <c r="I344">
        <f t="shared" ref="I344" si="49">D344+E344+H344</f>
        <v>0</v>
      </c>
      <c r="J344" t="s">
        <v>19</v>
      </c>
      <c r="L344">
        <v>20</v>
      </c>
      <c r="M344" t="s">
        <v>38</v>
      </c>
      <c r="N344" s="1">
        <v>45866</v>
      </c>
      <c r="T344">
        <f t="shared" ref="T344" si="50">O344+P344+S344</f>
        <v>0</v>
      </c>
      <c r="U344" t="s">
        <v>19</v>
      </c>
    </row>
    <row r="345" spans="1:21">
      <c r="B345" t="s">
        <v>9</v>
      </c>
      <c r="D345">
        <f>D325+D326+D327+D328+D329+D330+D332+D331+D333+D334+D335+D336+D337+D338+D340+D342</f>
        <v>662</v>
      </c>
      <c r="E345">
        <f>SUM(E325:E344)</f>
        <v>526</v>
      </c>
      <c r="I345">
        <f>I325+I326+I327+I328+I329+I330+I331+I332+I333+I334+I335+I336+I337+I338+I339+I340+I341+I342+I343+I344</f>
        <v>1644</v>
      </c>
      <c r="M345" t="s">
        <v>9</v>
      </c>
      <c r="O345">
        <f>O325+O326+O327+O328+O329+O330+O332+O331+O333+O334+O335+O336+O337+O338+O340+O342</f>
        <v>1441</v>
      </c>
      <c r="P345">
        <f>SUM(P325:P344)</f>
        <v>1847</v>
      </c>
      <c r="T345">
        <f>T325+T326+T327+T328+T329+T330+T331+T332+T333+T334+T335+T336+T337+T338+T339+T340+T341+T342+T343+T344</f>
        <v>3696</v>
      </c>
    </row>
    <row r="347" spans="1:21">
      <c r="A347" t="s">
        <v>1</v>
      </c>
      <c r="B347" t="s">
        <v>2</v>
      </c>
      <c r="C347" t="s">
        <v>3</v>
      </c>
      <c r="D347" t="s">
        <v>4</v>
      </c>
      <c r="E347" t="s">
        <v>5</v>
      </c>
      <c r="F347" t="s">
        <v>6</v>
      </c>
      <c r="G347" t="s">
        <v>7</v>
      </c>
      <c r="H347" t="s">
        <v>8</v>
      </c>
      <c r="I347" t="s">
        <v>9</v>
      </c>
      <c r="J347" t="s">
        <v>10</v>
      </c>
      <c r="L347" t="s">
        <v>1</v>
      </c>
      <c r="M347" t="s">
        <v>2</v>
      </c>
      <c r="N347" t="s">
        <v>3</v>
      </c>
      <c r="O347" t="s">
        <v>4</v>
      </c>
      <c r="P347" t="s">
        <v>5</v>
      </c>
      <c r="Q347" t="s">
        <v>6</v>
      </c>
      <c r="R347" t="s">
        <v>7</v>
      </c>
      <c r="S347" t="s">
        <v>8</v>
      </c>
      <c r="T347" t="s">
        <v>9</v>
      </c>
      <c r="U347" t="s">
        <v>10</v>
      </c>
    </row>
    <row r="348" spans="1:21">
      <c r="A348">
        <v>1</v>
      </c>
      <c r="B348" t="s">
        <v>11</v>
      </c>
      <c r="C348" s="1">
        <v>45867</v>
      </c>
      <c r="D348">
        <v>30</v>
      </c>
      <c r="E348">
        <v>41</v>
      </c>
      <c r="F348">
        <v>7</v>
      </c>
      <c r="G348">
        <v>5</v>
      </c>
      <c r="H348">
        <v>12</v>
      </c>
      <c r="I348">
        <f>D348+E348+H348</f>
        <v>83</v>
      </c>
      <c r="J348" t="s">
        <v>12</v>
      </c>
      <c r="L348">
        <v>1</v>
      </c>
      <c r="M348" t="s">
        <v>11</v>
      </c>
      <c r="N348" s="1">
        <v>45868</v>
      </c>
      <c r="O348">
        <v>36</v>
      </c>
      <c r="P348">
        <v>43</v>
      </c>
      <c r="Q348">
        <v>10</v>
      </c>
      <c r="R348">
        <v>5</v>
      </c>
      <c r="S348">
        <v>15</v>
      </c>
      <c r="T348">
        <f>O348+P348+S348</f>
        <v>94</v>
      </c>
      <c r="U348" t="s">
        <v>12</v>
      </c>
    </row>
    <row r="349" spans="1:21">
      <c r="A349">
        <v>2</v>
      </c>
      <c r="B349" t="s">
        <v>13</v>
      </c>
      <c r="C349" s="1">
        <v>45867</v>
      </c>
      <c r="D349">
        <v>18</v>
      </c>
      <c r="E349">
        <v>4</v>
      </c>
      <c r="F349">
        <v>3</v>
      </c>
      <c r="G349">
        <v>2</v>
      </c>
      <c r="H349">
        <v>5</v>
      </c>
      <c r="I349">
        <f>D349+E349+H349</f>
        <v>27</v>
      </c>
      <c r="J349" t="s">
        <v>14</v>
      </c>
      <c r="L349">
        <v>2</v>
      </c>
      <c r="M349" t="s">
        <v>13</v>
      </c>
      <c r="N349" s="1">
        <v>45868</v>
      </c>
      <c r="O349">
        <v>12</v>
      </c>
      <c r="P349">
        <v>7</v>
      </c>
      <c r="Q349">
        <v>2</v>
      </c>
      <c r="R349">
        <v>6</v>
      </c>
      <c r="S349">
        <v>8</v>
      </c>
      <c r="T349">
        <f>O349+P349+S349</f>
        <v>27</v>
      </c>
      <c r="U349" t="s">
        <v>14</v>
      </c>
    </row>
    <row r="350" spans="1:21">
      <c r="A350">
        <v>3</v>
      </c>
      <c r="B350" t="s">
        <v>15</v>
      </c>
      <c r="C350" s="1">
        <v>45867</v>
      </c>
      <c r="D350">
        <v>23</v>
      </c>
      <c r="E350">
        <v>30</v>
      </c>
      <c r="H350">
        <v>0</v>
      </c>
      <c r="I350">
        <f>SUM(D350,E350,H350)</f>
        <v>53</v>
      </c>
      <c r="J350" t="s">
        <v>16</v>
      </c>
      <c r="L350">
        <v>3</v>
      </c>
      <c r="M350" t="s">
        <v>15</v>
      </c>
      <c r="N350" s="1">
        <v>45868</v>
      </c>
      <c r="O350">
        <v>33</v>
      </c>
      <c r="P350">
        <v>24</v>
      </c>
      <c r="S350">
        <v>0</v>
      </c>
      <c r="T350">
        <f>SUM(O350,P350,S350)</f>
        <v>57</v>
      </c>
      <c r="U350" t="s">
        <v>16</v>
      </c>
    </row>
    <row r="351" spans="1:21">
      <c r="A351">
        <v>4</v>
      </c>
      <c r="B351" t="s">
        <v>17</v>
      </c>
      <c r="C351" s="1">
        <v>45867</v>
      </c>
      <c r="D351">
        <v>21</v>
      </c>
      <c r="E351">
        <v>7</v>
      </c>
      <c r="H351">
        <v>2</v>
      </c>
      <c r="I351">
        <f>D351+E351+H351</f>
        <v>30</v>
      </c>
      <c r="J351" t="s">
        <v>14</v>
      </c>
      <c r="L351">
        <v>4</v>
      </c>
      <c r="M351" t="s">
        <v>17</v>
      </c>
      <c r="N351" s="1">
        <v>45868</v>
      </c>
      <c r="O351">
        <v>15</v>
      </c>
      <c r="P351">
        <v>5</v>
      </c>
      <c r="S351">
        <v>1</v>
      </c>
      <c r="T351">
        <v>368</v>
      </c>
      <c r="U351" t="s">
        <v>14</v>
      </c>
    </row>
    <row r="352" spans="1:21">
      <c r="A352">
        <v>5</v>
      </c>
      <c r="B352" t="s">
        <v>18</v>
      </c>
      <c r="C352" s="1">
        <v>45867</v>
      </c>
      <c r="D352">
        <v>412</v>
      </c>
      <c r="E352">
        <v>564</v>
      </c>
      <c r="H352">
        <v>263</v>
      </c>
      <c r="I352">
        <f t="shared" ref="I352:I365" si="51">D352+E352+H352</f>
        <v>1239</v>
      </c>
      <c r="J352" t="s">
        <v>19</v>
      </c>
      <c r="L352">
        <v>5</v>
      </c>
      <c r="M352" t="s">
        <v>18</v>
      </c>
      <c r="N352" s="1">
        <v>45868</v>
      </c>
      <c r="O352">
        <v>232</v>
      </c>
      <c r="P352">
        <v>313</v>
      </c>
      <c r="S352">
        <v>61</v>
      </c>
      <c r="T352">
        <f t="shared" ref="T352:T365" si="52">O352+P352+S352</f>
        <v>606</v>
      </c>
      <c r="U352" t="s">
        <v>19</v>
      </c>
    </row>
    <row r="353" spans="1:21">
      <c r="A353">
        <v>6</v>
      </c>
      <c r="B353" t="s">
        <v>20</v>
      </c>
      <c r="C353" s="1">
        <v>45867</v>
      </c>
      <c r="D353">
        <v>98</v>
      </c>
      <c r="E353">
        <v>73</v>
      </c>
      <c r="H353">
        <v>0</v>
      </c>
      <c r="I353">
        <f t="shared" si="51"/>
        <v>171</v>
      </c>
      <c r="J353" t="s">
        <v>21</v>
      </c>
      <c r="L353">
        <v>6</v>
      </c>
      <c r="M353" t="s">
        <v>20</v>
      </c>
      <c r="N353" s="1">
        <v>45868</v>
      </c>
      <c r="O353">
        <v>97</v>
      </c>
      <c r="P353">
        <v>135</v>
      </c>
      <c r="S353">
        <v>0</v>
      </c>
      <c r="T353">
        <f t="shared" si="52"/>
        <v>232</v>
      </c>
      <c r="U353" t="s">
        <v>21</v>
      </c>
    </row>
    <row r="354" spans="1:21">
      <c r="A354">
        <v>7</v>
      </c>
      <c r="B354" t="s">
        <v>22</v>
      </c>
      <c r="C354" s="1">
        <v>45867</v>
      </c>
      <c r="D354">
        <v>67</v>
      </c>
      <c r="E354">
        <v>46</v>
      </c>
      <c r="H354">
        <v>0</v>
      </c>
      <c r="I354">
        <f t="shared" si="51"/>
        <v>113</v>
      </c>
      <c r="J354" t="s">
        <v>14</v>
      </c>
      <c r="L354">
        <v>7</v>
      </c>
      <c r="M354" t="s">
        <v>22</v>
      </c>
      <c r="N354" s="1">
        <v>45868</v>
      </c>
      <c r="O354">
        <v>87</v>
      </c>
      <c r="P354">
        <v>58</v>
      </c>
      <c r="S354">
        <v>0</v>
      </c>
      <c r="T354">
        <f t="shared" si="52"/>
        <v>145</v>
      </c>
      <c r="U354" t="s">
        <v>14</v>
      </c>
    </row>
    <row r="355" spans="1:21">
      <c r="A355">
        <v>8</v>
      </c>
      <c r="B355" t="s">
        <v>23</v>
      </c>
      <c r="C355" s="1">
        <v>45867</v>
      </c>
      <c r="I355">
        <f t="shared" si="51"/>
        <v>0</v>
      </c>
      <c r="J355" t="s">
        <v>12</v>
      </c>
      <c r="L355">
        <v>8</v>
      </c>
      <c r="M355" t="s">
        <v>23</v>
      </c>
      <c r="N355" s="1">
        <v>45868</v>
      </c>
      <c r="T355">
        <f t="shared" si="52"/>
        <v>0</v>
      </c>
      <c r="U355" t="s">
        <v>12</v>
      </c>
    </row>
    <row r="356" spans="1:21">
      <c r="A356">
        <v>9</v>
      </c>
      <c r="B356" t="s">
        <v>24</v>
      </c>
      <c r="C356" s="1">
        <v>45867</v>
      </c>
      <c r="D356">
        <v>46</v>
      </c>
      <c r="E356">
        <v>12</v>
      </c>
      <c r="H356">
        <v>8</v>
      </c>
      <c r="I356">
        <f t="shared" si="51"/>
        <v>66</v>
      </c>
      <c r="J356" t="s">
        <v>25</v>
      </c>
      <c r="L356">
        <v>9</v>
      </c>
      <c r="M356" t="s">
        <v>24</v>
      </c>
      <c r="N356" s="1">
        <v>45868</v>
      </c>
      <c r="O356">
        <v>35</v>
      </c>
      <c r="P356">
        <v>7</v>
      </c>
      <c r="S356">
        <v>5</v>
      </c>
      <c r="T356">
        <f t="shared" si="52"/>
        <v>47</v>
      </c>
      <c r="U356" t="s">
        <v>25</v>
      </c>
    </row>
    <row r="357" spans="1:21">
      <c r="A357">
        <v>10</v>
      </c>
      <c r="B357" t="s">
        <v>26</v>
      </c>
      <c r="C357" s="1">
        <v>45867</v>
      </c>
      <c r="D357">
        <v>114</v>
      </c>
      <c r="E357">
        <v>141</v>
      </c>
      <c r="H357">
        <v>34</v>
      </c>
      <c r="I357">
        <f t="shared" si="51"/>
        <v>289</v>
      </c>
      <c r="J357" t="s">
        <v>16</v>
      </c>
      <c r="L357">
        <v>10</v>
      </c>
      <c r="M357" t="s">
        <v>26</v>
      </c>
      <c r="N357" s="1">
        <v>45868</v>
      </c>
      <c r="O357">
        <v>55</v>
      </c>
      <c r="P357">
        <v>109</v>
      </c>
      <c r="S357">
        <v>46</v>
      </c>
      <c r="T357">
        <f t="shared" si="52"/>
        <v>210</v>
      </c>
      <c r="U357" t="s">
        <v>16</v>
      </c>
    </row>
    <row r="358" spans="1:21">
      <c r="A358">
        <v>11</v>
      </c>
      <c r="B358" t="s">
        <v>27</v>
      </c>
      <c r="C358" s="1">
        <v>45867</v>
      </c>
      <c r="D358">
        <v>9</v>
      </c>
      <c r="E358">
        <v>2</v>
      </c>
      <c r="F358">
        <v>2</v>
      </c>
      <c r="G358">
        <v>3</v>
      </c>
      <c r="H358">
        <v>5</v>
      </c>
      <c r="I358">
        <f t="shared" si="51"/>
        <v>16</v>
      </c>
      <c r="J358" t="s">
        <v>19</v>
      </c>
      <c r="L358">
        <v>11</v>
      </c>
      <c r="M358" t="s">
        <v>27</v>
      </c>
      <c r="N358" s="1">
        <v>45868</v>
      </c>
      <c r="T358">
        <f t="shared" si="52"/>
        <v>0</v>
      </c>
      <c r="U358" t="s">
        <v>19</v>
      </c>
    </row>
    <row r="359" spans="1:21">
      <c r="A359">
        <v>12</v>
      </c>
      <c r="B359" t="s">
        <v>28</v>
      </c>
      <c r="C359" s="1">
        <v>45867</v>
      </c>
      <c r="D359">
        <v>135</v>
      </c>
      <c r="E359">
        <v>209</v>
      </c>
      <c r="F359">
        <v>23</v>
      </c>
      <c r="G359">
        <v>21</v>
      </c>
      <c r="H359">
        <v>44</v>
      </c>
      <c r="I359">
        <f t="shared" si="51"/>
        <v>388</v>
      </c>
      <c r="J359" t="s">
        <v>25</v>
      </c>
      <c r="L359">
        <v>12</v>
      </c>
      <c r="M359" t="s">
        <v>28</v>
      </c>
      <c r="N359" s="1">
        <v>45868</v>
      </c>
      <c r="O359">
        <v>153</v>
      </c>
      <c r="P359">
        <v>185</v>
      </c>
      <c r="Q359">
        <v>19</v>
      </c>
      <c r="R359">
        <v>18</v>
      </c>
      <c r="S359">
        <v>37</v>
      </c>
      <c r="T359">
        <f t="shared" si="52"/>
        <v>375</v>
      </c>
      <c r="U359" t="s">
        <v>25</v>
      </c>
    </row>
    <row r="360" spans="1:21">
      <c r="A360">
        <v>13</v>
      </c>
      <c r="B360" t="s">
        <v>29</v>
      </c>
      <c r="C360" s="1">
        <v>45867</v>
      </c>
      <c r="I360">
        <f t="shared" si="51"/>
        <v>0</v>
      </c>
      <c r="J360" t="s">
        <v>30</v>
      </c>
      <c r="L360">
        <v>13</v>
      </c>
      <c r="M360" t="s">
        <v>29</v>
      </c>
      <c r="N360" s="1">
        <v>45868</v>
      </c>
      <c r="O360">
        <v>82</v>
      </c>
      <c r="P360">
        <v>79</v>
      </c>
      <c r="Q360">
        <v>10</v>
      </c>
      <c r="R360">
        <v>3</v>
      </c>
      <c r="S360">
        <v>13</v>
      </c>
      <c r="T360">
        <f t="shared" si="52"/>
        <v>174</v>
      </c>
      <c r="U360" t="s">
        <v>30</v>
      </c>
    </row>
    <row r="361" spans="1:21">
      <c r="A361">
        <v>14</v>
      </c>
      <c r="B361" t="s">
        <v>31</v>
      </c>
      <c r="C361" s="1">
        <v>45867</v>
      </c>
      <c r="D361">
        <v>31</v>
      </c>
      <c r="E361">
        <v>26</v>
      </c>
      <c r="F361">
        <v>2</v>
      </c>
      <c r="G361">
        <v>3</v>
      </c>
      <c r="H361">
        <v>5</v>
      </c>
      <c r="I361">
        <f t="shared" si="51"/>
        <v>62</v>
      </c>
      <c r="J361" t="s">
        <v>12</v>
      </c>
      <c r="L361">
        <v>14</v>
      </c>
      <c r="M361" t="s">
        <v>31</v>
      </c>
      <c r="N361" s="1">
        <v>45868</v>
      </c>
      <c r="T361">
        <f t="shared" si="52"/>
        <v>0</v>
      </c>
      <c r="U361" t="s">
        <v>12</v>
      </c>
    </row>
    <row r="362" spans="1:21">
      <c r="A362">
        <v>15</v>
      </c>
      <c r="B362" t="s">
        <v>32</v>
      </c>
      <c r="C362" s="1">
        <v>45867</v>
      </c>
      <c r="I362">
        <f t="shared" si="51"/>
        <v>0</v>
      </c>
      <c r="J362" t="s">
        <v>33</v>
      </c>
      <c r="L362">
        <v>15</v>
      </c>
      <c r="M362" t="s">
        <v>32</v>
      </c>
      <c r="N362" s="1">
        <v>45868</v>
      </c>
      <c r="T362">
        <f t="shared" si="52"/>
        <v>0</v>
      </c>
      <c r="U362" t="s">
        <v>33</v>
      </c>
    </row>
    <row r="363" spans="1:21">
      <c r="A363">
        <v>16</v>
      </c>
      <c r="B363" t="s">
        <v>34</v>
      </c>
      <c r="C363" s="1">
        <v>45867</v>
      </c>
      <c r="D363">
        <v>22</v>
      </c>
      <c r="E363">
        <v>13</v>
      </c>
      <c r="F363">
        <v>6</v>
      </c>
      <c r="G363">
        <v>21</v>
      </c>
      <c r="H363">
        <v>27</v>
      </c>
      <c r="I363">
        <f t="shared" si="51"/>
        <v>62</v>
      </c>
      <c r="J363" t="s">
        <v>21</v>
      </c>
      <c r="L363">
        <v>16</v>
      </c>
      <c r="M363" t="s">
        <v>34</v>
      </c>
      <c r="N363" s="1">
        <v>45868</v>
      </c>
      <c r="T363">
        <f t="shared" si="52"/>
        <v>0</v>
      </c>
      <c r="U363" t="s">
        <v>21</v>
      </c>
    </row>
    <row r="364" spans="1:21">
      <c r="A364">
        <v>17</v>
      </c>
      <c r="B364" t="s">
        <v>35</v>
      </c>
      <c r="C364" s="1">
        <v>45867</v>
      </c>
      <c r="I364">
        <f t="shared" si="51"/>
        <v>0</v>
      </c>
      <c r="J364" t="s">
        <v>33</v>
      </c>
      <c r="L364">
        <v>17</v>
      </c>
      <c r="M364" t="s">
        <v>35</v>
      </c>
      <c r="N364" s="1">
        <v>45868</v>
      </c>
      <c r="T364">
        <f t="shared" si="52"/>
        <v>0</v>
      </c>
      <c r="U364" t="s">
        <v>33</v>
      </c>
    </row>
    <row r="365" spans="1:21">
      <c r="A365">
        <v>18</v>
      </c>
      <c r="B365" t="s">
        <v>36</v>
      </c>
      <c r="C365" s="1">
        <v>45867</v>
      </c>
      <c r="I365">
        <f t="shared" si="51"/>
        <v>0</v>
      </c>
      <c r="J365" t="s">
        <v>33</v>
      </c>
      <c r="L365">
        <v>18</v>
      </c>
      <c r="M365" t="s">
        <v>36</v>
      </c>
      <c r="N365" s="1">
        <v>45868</v>
      </c>
      <c r="O365">
        <v>266</v>
      </c>
      <c r="P365">
        <v>273</v>
      </c>
      <c r="S365">
        <v>0</v>
      </c>
      <c r="T365">
        <f t="shared" si="52"/>
        <v>539</v>
      </c>
      <c r="U365" t="s">
        <v>33</v>
      </c>
    </row>
    <row r="366" spans="1:21">
      <c r="A366">
        <v>19</v>
      </c>
      <c r="B366" t="s">
        <v>37</v>
      </c>
      <c r="C366" s="1">
        <v>45867</v>
      </c>
      <c r="I366">
        <f>D366+E366+H366</f>
        <v>0</v>
      </c>
      <c r="L366">
        <v>19</v>
      </c>
      <c r="M366" t="s">
        <v>37</v>
      </c>
      <c r="N366" s="1">
        <v>45868</v>
      </c>
      <c r="T366">
        <f>O366+P366+S366</f>
        <v>0</v>
      </c>
    </row>
    <row r="367" spans="1:21">
      <c r="A367">
        <v>20</v>
      </c>
      <c r="B367" t="s">
        <v>38</v>
      </c>
      <c r="C367" s="1">
        <v>45867</v>
      </c>
      <c r="I367">
        <f t="shared" ref="I367" si="53">D367+E367+H367</f>
        <v>0</v>
      </c>
      <c r="J367" t="s">
        <v>19</v>
      </c>
      <c r="L367">
        <v>20</v>
      </c>
      <c r="M367" t="s">
        <v>38</v>
      </c>
      <c r="N367" s="1">
        <v>45868</v>
      </c>
      <c r="T367">
        <f t="shared" ref="T367" si="54">O367+P367+S367</f>
        <v>0</v>
      </c>
      <c r="U367" t="s">
        <v>19</v>
      </c>
    </row>
    <row r="368" spans="1:21">
      <c r="B368" t="s">
        <v>9</v>
      </c>
      <c r="D368">
        <f>D348+D349+D350+D351+D352+D353+D355+D354+D356+D357+D358+D359+D360+D361+D363+D365</f>
        <v>1026</v>
      </c>
      <c r="E368">
        <f>SUM(E348:E367)</f>
        <v>1168</v>
      </c>
      <c r="I368">
        <f>I348+I349+I350+I351+I352+I353+I354+I355+I356+I357+I358+I359+I360+I361+I362+I363+I364+I365+I366+I367</f>
        <v>2599</v>
      </c>
      <c r="M368" t="s">
        <v>9</v>
      </c>
      <c r="O368">
        <f>O348+O349+O350+O351+O352+O353+O355+O354+O356+O357+O358+O359+O360+O361+O363+O365</f>
        <v>1103</v>
      </c>
      <c r="P368">
        <f>SUM(P348:P367)</f>
        <v>1238</v>
      </c>
      <c r="T368">
        <f>T348+T349+T350+T351+T352+T353+T354+T355+T356+T357+T358+T359+T360+T361+T362+T363+T364+T365+T366+T367</f>
        <v>2874</v>
      </c>
    </row>
    <row r="370" spans="1:21">
      <c r="A370" t="s">
        <v>1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8</v>
      </c>
      <c r="I370" t="s">
        <v>9</v>
      </c>
      <c r="J370" t="s">
        <v>10</v>
      </c>
      <c r="L370" t="s">
        <v>1</v>
      </c>
      <c r="M370" t="s">
        <v>2</v>
      </c>
      <c r="N370" t="s">
        <v>3</v>
      </c>
      <c r="O370" t="s">
        <v>4</v>
      </c>
      <c r="P370" t="s">
        <v>5</v>
      </c>
      <c r="Q370" t="s">
        <v>6</v>
      </c>
      <c r="R370" t="s">
        <v>7</v>
      </c>
      <c r="S370" t="s">
        <v>8</v>
      </c>
      <c r="T370" t="s">
        <v>9</v>
      </c>
      <c r="U370" t="s">
        <v>10</v>
      </c>
    </row>
    <row r="371" spans="1:21">
      <c r="A371">
        <v>1</v>
      </c>
      <c r="B371" t="s">
        <v>11</v>
      </c>
      <c r="C371" s="1">
        <v>45869</v>
      </c>
      <c r="D371">
        <v>12</v>
      </c>
      <c r="E371">
        <v>11</v>
      </c>
      <c r="H371">
        <v>0</v>
      </c>
      <c r="I371">
        <f>D371+E371+H371</f>
        <v>23</v>
      </c>
      <c r="J371" t="s">
        <v>12</v>
      </c>
      <c r="L371">
        <v>1</v>
      </c>
      <c r="M371" t="s">
        <v>11</v>
      </c>
      <c r="N371" s="1">
        <v>45870</v>
      </c>
      <c r="O371">
        <v>17</v>
      </c>
      <c r="P371">
        <v>33</v>
      </c>
      <c r="S371">
        <v>0</v>
      </c>
      <c r="T371">
        <f>O371+P371+S371</f>
        <v>50</v>
      </c>
      <c r="U371" t="s">
        <v>12</v>
      </c>
    </row>
    <row r="372" spans="1:21">
      <c r="A372">
        <v>2</v>
      </c>
      <c r="B372" t="s">
        <v>13</v>
      </c>
      <c r="C372" s="1">
        <v>45869</v>
      </c>
      <c r="D372">
        <v>12</v>
      </c>
      <c r="E372">
        <v>8</v>
      </c>
      <c r="F372">
        <v>3</v>
      </c>
      <c r="G372">
        <v>2</v>
      </c>
      <c r="H372">
        <v>5</v>
      </c>
      <c r="I372">
        <f>D372+E372+H372</f>
        <v>25</v>
      </c>
      <c r="J372" t="s">
        <v>14</v>
      </c>
      <c r="L372">
        <v>2</v>
      </c>
      <c r="M372" t="s">
        <v>13</v>
      </c>
      <c r="N372" s="1">
        <v>45870</v>
      </c>
      <c r="O372">
        <v>17</v>
      </c>
      <c r="P372">
        <v>5</v>
      </c>
      <c r="Q372">
        <v>0</v>
      </c>
      <c r="R372">
        <v>0</v>
      </c>
      <c r="S372">
        <v>0</v>
      </c>
      <c r="T372">
        <f>O372+P372+S372</f>
        <v>22</v>
      </c>
      <c r="U372" t="s">
        <v>14</v>
      </c>
    </row>
    <row r="373" spans="1:21">
      <c r="A373">
        <v>3</v>
      </c>
      <c r="B373" t="s">
        <v>15</v>
      </c>
      <c r="C373" s="1">
        <v>45869</v>
      </c>
      <c r="I373">
        <f>SUM(D373,E373,H373)</f>
        <v>0</v>
      </c>
      <c r="J373" t="s">
        <v>16</v>
      </c>
      <c r="L373">
        <v>3</v>
      </c>
      <c r="M373" t="s">
        <v>15</v>
      </c>
      <c r="N373" s="1">
        <v>45870</v>
      </c>
      <c r="O373">
        <v>28</v>
      </c>
      <c r="P373">
        <v>19</v>
      </c>
      <c r="S373">
        <v>0</v>
      </c>
      <c r="T373">
        <f>SUM(O373,P373,S373)</f>
        <v>47</v>
      </c>
      <c r="U373" t="s">
        <v>16</v>
      </c>
    </row>
    <row r="374" spans="1:21">
      <c r="A374">
        <v>4</v>
      </c>
      <c r="B374" t="s">
        <v>17</v>
      </c>
      <c r="C374" s="1">
        <v>45869</v>
      </c>
      <c r="I374">
        <v>0</v>
      </c>
      <c r="J374" t="s">
        <v>14</v>
      </c>
      <c r="L374">
        <v>4</v>
      </c>
      <c r="M374" t="s">
        <v>17</v>
      </c>
      <c r="N374" s="1">
        <v>45870</v>
      </c>
      <c r="O374">
        <v>42</v>
      </c>
      <c r="P374">
        <v>9</v>
      </c>
      <c r="Q374">
        <v>0</v>
      </c>
      <c r="R374">
        <v>0</v>
      </c>
      <c r="S374">
        <v>0</v>
      </c>
      <c r="T374">
        <f>O374+P374+S374</f>
        <v>51</v>
      </c>
      <c r="U374" t="s">
        <v>14</v>
      </c>
    </row>
    <row r="375" spans="1:21">
      <c r="A375">
        <v>5</v>
      </c>
      <c r="B375" t="s">
        <v>18</v>
      </c>
      <c r="C375" s="1">
        <v>45869</v>
      </c>
      <c r="D375">
        <v>215</v>
      </c>
      <c r="E375">
        <v>361</v>
      </c>
      <c r="H375">
        <v>119</v>
      </c>
      <c r="I375">
        <f t="shared" ref="I375:I388" si="55">D375+E375+H375</f>
        <v>695</v>
      </c>
      <c r="J375" t="s">
        <v>19</v>
      </c>
      <c r="L375">
        <v>5</v>
      </c>
      <c r="M375" t="s">
        <v>18</v>
      </c>
      <c r="N375" s="1">
        <v>45870</v>
      </c>
      <c r="O375">
        <v>422</v>
      </c>
      <c r="P375">
        <v>727</v>
      </c>
      <c r="S375">
        <v>242</v>
      </c>
      <c r="T375">
        <f t="shared" ref="T375:T388" si="56">O375+P375+S375</f>
        <v>1391</v>
      </c>
      <c r="U375" t="s">
        <v>19</v>
      </c>
    </row>
    <row r="376" spans="1:21">
      <c r="A376">
        <v>6</v>
      </c>
      <c r="B376" t="s">
        <v>20</v>
      </c>
      <c r="C376" s="1">
        <v>45869</v>
      </c>
      <c r="D376">
        <v>105</v>
      </c>
      <c r="E376">
        <v>73</v>
      </c>
      <c r="H376">
        <v>0</v>
      </c>
      <c r="I376">
        <f t="shared" si="55"/>
        <v>178</v>
      </c>
      <c r="J376" t="s">
        <v>21</v>
      </c>
      <c r="L376">
        <v>6</v>
      </c>
      <c r="M376" t="s">
        <v>20</v>
      </c>
      <c r="N376" s="1">
        <v>45870</v>
      </c>
      <c r="O376">
        <v>85</v>
      </c>
      <c r="P376">
        <v>59</v>
      </c>
      <c r="S376">
        <v>0</v>
      </c>
      <c r="T376">
        <f t="shared" si="56"/>
        <v>144</v>
      </c>
      <c r="U376" t="s">
        <v>21</v>
      </c>
    </row>
    <row r="377" spans="1:21">
      <c r="A377">
        <v>7</v>
      </c>
      <c r="B377" t="s">
        <v>22</v>
      </c>
      <c r="C377" s="1">
        <v>45869</v>
      </c>
      <c r="D377">
        <v>68</v>
      </c>
      <c r="E377">
        <v>52</v>
      </c>
      <c r="H377">
        <v>0</v>
      </c>
      <c r="I377">
        <f t="shared" si="55"/>
        <v>120</v>
      </c>
      <c r="J377" t="s">
        <v>14</v>
      </c>
      <c r="L377">
        <v>7</v>
      </c>
      <c r="M377" t="s">
        <v>22</v>
      </c>
      <c r="N377" s="1">
        <v>45870</v>
      </c>
      <c r="O377">
        <v>61</v>
      </c>
      <c r="P377">
        <v>89</v>
      </c>
      <c r="S377">
        <v>0</v>
      </c>
      <c r="T377">
        <f t="shared" si="56"/>
        <v>150</v>
      </c>
      <c r="U377" t="s">
        <v>14</v>
      </c>
    </row>
    <row r="378" spans="1:21">
      <c r="A378">
        <v>8</v>
      </c>
      <c r="B378" t="s">
        <v>23</v>
      </c>
      <c r="C378" s="1">
        <v>45869</v>
      </c>
      <c r="I378">
        <f t="shared" si="55"/>
        <v>0</v>
      </c>
      <c r="J378" t="s">
        <v>12</v>
      </c>
      <c r="L378">
        <v>8</v>
      </c>
      <c r="M378" t="s">
        <v>23</v>
      </c>
      <c r="N378" s="1">
        <v>45870</v>
      </c>
      <c r="T378">
        <f t="shared" si="56"/>
        <v>0</v>
      </c>
      <c r="U378" t="s">
        <v>12</v>
      </c>
    </row>
    <row r="379" spans="1:21">
      <c r="A379">
        <v>9</v>
      </c>
      <c r="B379" t="s">
        <v>24</v>
      </c>
      <c r="C379" s="1">
        <v>45869</v>
      </c>
      <c r="D379">
        <v>42</v>
      </c>
      <c r="E379">
        <v>19</v>
      </c>
      <c r="H379">
        <v>7</v>
      </c>
      <c r="I379">
        <f t="shared" si="55"/>
        <v>68</v>
      </c>
      <c r="J379" t="s">
        <v>25</v>
      </c>
      <c r="L379">
        <v>9</v>
      </c>
      <c r="M379" t="s">
        <v>24</v>
      </c>
      <c r="N379" s="1">
        <v>45870</v>
      </c>
      <c r="O379">
        <v>54</v>
      </c>
      <c r="P379">
        <v>8</v>
      </c>
      <c r="S379">
        <v>4</v>
      </c>
      <c r="T379">
        <f t="shared" si="56"/>
        <v>66</v>
      </c>
      <c r="U379" t="s">
        <v>25</v>
      </c>
    </row>
    <row r="380" spans="1:21">
      <c r="A380">
        <v>10</v>
      </c>
      <c r="B380" t="s">
        <v>26</v>
      </c>
      <c r="C380" s="1">
        <v>45869</v>
      </c>
      <c r="D380">
        <v>81</v>
      </c>
      <c r="E380">
        <v>173</v>
      </c>
      <c r="H380">
        <v>25</v>
      </c>
      <c r="I380">
        <f t="shared" si="55"/>
        <v>279</v>
      </c>
      <c r="J380" t="s">
        <v>16</v>
      </c>
      <c r="L380">
        <v>10</v>
      </c>
      <c r="M380" t="s">
        <v>26</v>
      </c>
      <c r="N380" s="1">
        <v>45870</v>
      </c>
      <c r="O380">
        <v>73</v>
      </c>
      <c r="P380">
        <v>126</v>
      </c>
      <c r="S380">
        <v>31</v>
      </c>
      <c r="T380">
        <f t="shared" si="56"/>
        <v>230</v>
      </c>
      <c r="U380" t="s">
        <v>16</v>
      </c>
    </row>
    <row r="381" spans="1:21">
      <c r="A381">
        <v>11</v>
      </c>
      <c r="B381" t="s">
        <v>27</v>
      </c>
      <c r="C381" s="1">
        <v>45869</v>
      </c>
      <c r="D381">
        <v>6</v>
      </c>
      <c r="E381">
        <v>2</v>
      </c>
      <c r="F381">
        <v>0</v>
      </c>
      <c r="G381">
        <v>0</v>
      </c>
      <c r="H381">
        <v>0</v>
      </c>
      <c r="I381">
        <f t="shared" si="55"/>
        <v>8</v>
      </c>
      <c r="J381" t="s">
        <v>19</v>
      </c>
      <c r="L381">
        <v>11</v>
      </c>
      <c r="M381" t="s">
        <v>27</v>
      </c>
      <c r="N381" s="1">
        <v>45870</v>
      </c>
      <c r="O381">
        <v>4</v>
      </c>
      <c r="P381">
        <v>4</v>
      </c>
      <c r="Q381">
        <v>0</v>
      </c>
      <c r="R381">
        <v>0</v>
      </c>
      <c r="S381">
        <v>0</v>
      </c>
      <c r="T381">
        <f t="shared" si="56"/>
        <v>8</v>
      </c>
      <c r="U381" t="s">
        <v>19</v>
      </c>
    </row>
    <row r="382" spans="1:21">
      <c r="A382">
        <v>12</v>
      </c>
      <c r="B382" t="s">
        <v>28</v>
      </c>
      <c r="C382" s="1">
        <v>45869</v>
      </c>
      <c r="D382">
        <v>184</v>
      </c>
      <c r="E382">
        <v>170</v>
      </c>
      <c r="F382">
        <v>26</v>
      </c>
      <c r="G382">
        <v>12</v>
      </c>
      <c r="H382">
        <v>38</v>
      </c>
      <c r="I382">
        <f t="shared" si="55"/>
        <v>392</v>
      </c>
      <c r="J382" t="s">
        <v>25</v>
      </c>
      <c r="L382">
        <v>12</v>
      </c>
      <c r="M382" t="s">
        <v>28</v>
      </c>
      <c r="N382" s="1">
        <v>45870</v>
      </c>
      <c r="O382">
        <v>191</v>
      </c>
      <c r="P382">
        <v>182</v>
      </c>
      <c r="Q382">
        <v>20</v>
      </c>
      <c r="R382">
        <v>19</v>
      </c>
      <c r="S382">
        <v>39</v>
      </c>
      <c r="T382">
        <f t="shared" si="56"/>
        <v>412</v>
      </c>
      <c r="U382" t="s">
        <v>25</v>
      </c>
    </row>
    <row r="383" spans="1:21">
      <c r="A383">
        <v>13</v>
      </c>
      <c r="B383" t="s">
        <v>29</v>
      </c>
      <c r="C383" s="1">
        <v>45869</v>
      </c>
      <c r="D383">
        <v>119</v>
      </c>
      <c r="E383">
        <v>86</v>
      </c>
      <c r="F383">
        <v>4</v>
      </c>
      <c r="G383">
        <v>6</v>
      </c>
      <c r="H383">
        <v>10</v>
      </c>
      <c r="I383">
        <f t="shared" si="55"/>
        <v>215</v>
      </c>
      <c r="J383" t="s">
        <v>30</v>
      </c>
      <c r="L383">
        <v>13</v>
      </c>
      <c r="M383" t="s">
        <v>29</v>
      </c>
      <c r="N383" s="1">
        <v>45870</v>
      </c>
      <c r="T383">
        <f t="shared" si="56"/>
        <v>0</v>
      </c>
      <c r="U383" t="s">
        <v>30</v>
      </c>
    </row>
    <row r="384" spans="1:21">
      <c r="A384">
        <v>14</v>
      </c>
      <c r="B384" t="s">
        <v>31</v>
      </c>
      <c r="C384" s="1">
        <v>45869</v>
      </c>
      <c r="D384">
        <v>51</v>
      </c>
      <c r="E384">
        <v>85</v>
      </c>
      <c r="F384">
        <v>5</v>
      </c>
      <c r="G384">
        <v>7</v>
      </c>
      <c r="H384">
        <v>12</v>
      </c>
      <c r="I384">
        <f t="shared" si="55"/>
        <v>148</v>
      </c>
      <c r="J384" t="s">
        <v>12</v>
      </c>
      <c r="L384">
        <v>14</v>
      </c>
      <c r="M384" t="s">
        <v>31</v>
      </c>
      <c r="N384" s="1">
        <v>45870</v>
      </c>
      <c r="O384">
        <v>18</v>
      </c>
      <c r="P384">
        <v>28</v>
      </c>
      <c r="Q384">
        <v>10</v>
      </c>
      <c r="R384">
        <v>0</v>
      </c>
      <c r="S384">
        <v>10</v>
      </c>
      <c r="T384">
        <f t="shared" si="56"/>
        <v>56</v>
      </c>
      <c r="U384" t="s">
        <v>12</v>
      </c>
    </row>
    <row r="385" spans="1:21">
      <c r="A385">
        <v>15</v>
      </c>
      <c r="B385" t="s">
        <v>32</v>
      </c>
      <c r="C385" s="1">
        <v>45869</v>
      </c>
      <c r="I385">
        <f t="shared" si="55"/>
        <v>0</v>
      </c>
      <c r="J385" t="s">
        <v>33</v>
      </c>
      <c r="L385">
        <v>15</v>
      </c>
      <c r="M385" t="s">
        <v>32</v>
      </c>
      <c r="N385" s="1">
        <v>45870</v>
      </c>
      <c r="T385">
        <f t="shared" si="56"/>
        <v>0</v>
      </c>
      <c r="U385" t="s">
        <v>33</v>
      </c>
    </row>
    <row r="386" spans="1:21">
      <c r="A386">
        <v>16</v>
      </c>
      <c r="B386" t="s">
        <v>34</v>
      </c>
      <c r="C386" s="1">
        <v>45869</v>
      </c>
      <c r="D386">
        <v>15</v>
      </c>
      <c r="E386">
        <v>5</v>
      </c>
      <c r="F386">
        <v>6</v>
      </c>
      <c r="G386">
        <v>0</v>
      </c>
      <c r="H386">
        <v>6</v>
      </c>
      <c r="I386">
        <f t="shared" si="55"/>
        <v>26</v>
      </c>
      <c r="J386" t="s">
        <v>21</v>
      </c>
      <c r="L386">
        <v>16</v>
      </c>
      <c r="M386" t="s">
        <v>34</v>
      </c>
      <c r="N386" s="1">
        <v>45870</v>
      </c>
      <c r="T386">
        <f t="shared" si="56"/>
        <v>0</v>
      </c>
      <c r="U386" t="s">
        <v>21</v>
      </c>
    </row>
    <row r="387" spans="1:21">
      <c r="A387">
        <v>17</v>
      </c>
      <c r="B387" t="s">
        <v>35</v>
      </c>
      <c r="C387" s="1">
        <v>45869</v>
      </c>
      <c r="I387">
        <f t="shared" si="55"/>
        <v>0</v>
      </c>
      <c r="J387" t="s">
        <v>33</v>
      </c>
      <c r="L387">
        <v>17</v>
      </c>
      <c r="M387" t="s">
        <v>35</v>
      </c>
      <c r="N387" s="1">
        <v>45870</v>
      </c>
      <c r="T387">
        <f t="shared" si="56"/>
        <v>0</v>
      </c>
      <c r="U387" t="s">
        <v>33</v>
      </c>
    </row>
    <row r="388" spans="1:21">
      <c r="A388">
        <v>18</v>
      </c>
      <c r="B388" t="s">
        <v>36</v>
      </c>
      <c r="C388" s="1">
        <v>45869</v>
      </c>
      <c r="D388">
        <v>271</v>
      </c>
      <c r="E388">
        <v>284</v>
      </c>
      <c r="H388">
        <v>0</v>
      </c>
      <c r="I388">
        <f t="shared" si="55"/>
        <v>555</v>
      </c>
      <c r="J388" t="s">
        <v>33</v>
      </c>
      <c r="L388">
        <v>18</v>
      </c>
      <c r="M388" t="s">
        <v>36</v>
      </c>
      <c r="N388" s="1">
        <v>45870</v>
      </c>
      <c r="O388">
        <v>271</v>
      </c>
      <c r="P388">
        <v>284</v>
      </c>
      <c r="S388">
        <v>0</v>
      </c>
      <c r="T388">
        <f t="shared" si="56"/>
        <v>555</v>
      </c>
      <c r="U388" t="s">
        <v>33</v>
      </c>
    </row>
    <row r="389" spans="1:21">
      <c r="A389">
        <v>19</v>
      </c>
      <c r="B389" t="s">
        <v>37</v>
      </c>
      <c r="C389" s="1">
        <v>45869</v>
      </c>
      <c r="I389">
        <f>D389+E389+H389</f>
        <v>0</v>
      </c>
      <c r="L389">
        <v>19</v>
      </c>
      <c r="M389" t="s">
        <v>37</v>
      </c>
      <c r="N389" s="1">
        <v>45870</v>
      </c>
      <c r="T389">
        <f>O389+P389+S389</f>
        <v>0</v>
      </c>
    </row>
    <row r="390" spans="1:21">
      <c r="A390">
        <v>20</v>
      </c>
      <c r="B390" t="s">
        <v>38</v>
      </c>
      <c r="C390" s="1">
        <v>45869</v>
      </c>
      <c r="I390">
        <f t="shared" ref="I390" si="57">D390+E390+H390</f>
        <v>0</v>
      </c>
      <c r="J390" t="s">
        <v>19</v>
      </c>
      <c r="L390">
        <v>20</v>
      </c>
      <c r="M390" t="s">
        <v>38</v>
      </c>
      <c r="N390" s="1">
        <v>45870</v>
      </c>
      <c r="T390">
        <f t="shared" ref="T390" si="58">O390+P390+S390</f>
        <v>0</v>
      </c>
      <c r="U390" t="s">
        <v>19</v>
      </c>
    </row>
    <row r="391" spans="1:21">
      <c r="B391" t="s">
        <v>9</v>
      </c>
      <c r="D391">
        <f>D371+D372+D373+D374+D375+D376+D378+D377+D379+D380+D381+D382+D383+D384+D386+D388</f>
        <v>1181</v>
      </c>
      <c r="E391">
        <f>SUM(E371:E390)</f>
        <v>1329</v>
      </c>
      <c r="I391">
        <f>I371+I372+I373+I374+I375+I376+I377+I378+I379+I380+I381+I382+I383+I384+I385+I386+I387+I388+I389+I390</f>
        <v>2732</v>
      </c>
      <c r="M391" t="s">
        <v>9</v>
      </c>
      <c r="O391">
        <f>O371+O372+O373+O374+O375+O376+O378+O377+O379+O380+O381+O382+O383+O384+O386+O388</f>
        <v>1283</v>
      </c>
      <c r="P391">
        <f>SUM(P371:P390)</f>
        <v>1573</v>
      </c>
      <c r="T391">
        <f>T371+T372+T373+T374+T375+T376+T377+T378+T379+T380+T381+T382+T383+T384+T385+T386+T387+T388+T389+T390</f>
        <v>3182</v>
      </c>
    </row>
    <row r="393" spans="1:21">
      <c r="A393" t="s">
        <v>1</v>
      </c>
      <c r="B393" t="s">
        <v>2</v>
      </c>
      <c r="C393" t="s">
        <v>3</v>
      </c>
      <c r="D393" t="s">
        <v>4</v>
      </c>
      <c r="E393" t="s">
        <v>5</v>
      </c>
      <c r="F393" t="s">
        <v>6</v>
      </c>
      <c r="G393" t="s">
        <v>7</v>
      </c>
      <c r="H393" t="s">
        <v>8</v>
      </c>
      <c r="I393" t="s">
        <v>9</v>
      </c>
      <c r="J393" t="s">
        <v>10</v>
      </c>
      <c r="L393" t="s">
        <v>1</v>
      </c>
      <c r="M393" t="s">
        <v>2</v>
      </c>
      <c r="N393" t="s">
        <v>3</v>
      </c>
      <c r="O393" t="s">
        <v>4</v>
      </c>
      <c r="P393" t="s">
        <v>5</v>
      </c>
      <c r="Q393" t="s">
        <v>6</v>
      </c>
      <c r="R393" t="s">
        <v>7</v>
      </c>
      <c r="S393" t="s">
        <v>8</v>
      </c>
      <c r="T393" t="s">
        <v>9</v>
      </c>
      <c r="U393" t="s">
        <v>10</v>
      </c>
    </row>
    <row r="394" spans="1:21">
      <c r="A394">
        <v>1</v>
      </c>
      <c r="B394" t="s">
        <v>11</v>
      </c>
      <c r="C394" s="1">
        <v>45871</v>
      </c>
      <c r="D394">
        <v>21</v>
      </c>
      <c r="E394">
        <v>22</v>
      </c>
      <c r="F394">
        <v>4</v>
      </c>
      <c r="G394">
        <v>0</v>
      </c>
      <c r="H394">
        <v>4</v>
      </c>
      <c r="I394">
        <f>D394+E394+H394</f>
        <v>47</v>
      </c>
      <c r="J394" t="s">
        <v>12</v>
      </c>
      <c r="L394">
        <v>1</v>
      </c>
      <c r="M394" t="s">
        <v>11</v>
      </c>
      <c r="N394" s="1">
        <v>45872</v>
      </c>
      <c r="O394">
        <v>14</v>
      </c>
      <c r="P394">
        <v>9</v>
      </c>
      <c r="S394">
        <v>0</v>
      </c>
      <c r="T394">
        <f>O394+P394+S394</f>
        <v>23</v>
      </c>
      <c r="U394" t="s">
        <v>12</v>
      </c>
    </row>
    <row r="395" spans="1:21">
      <c r="A395">
        <v>2</v>
      </c>
      <c r="B395" t="s">
        <v>13</v>
      </c>
      <c r="C395" s="1">
        <v>45871</v>
      </c>
      <c r="D395">
        <v>13</v>
      </c>
      <c r="E395">
        <v>2</v>
      </c>
      <c r="F395">
        <v>0</v>
      </c>
      <c r="G395">
        <v>1</v>
      </c>
      <c r="H395">
        <v>3</v>
      </c>
      <c r="I395">
        <f>D395+E395+H395</f>
        <v>18</v>
      </c>
      <c r="J395" t="s">
        <v>14</v>
      </c>
      <c r="L395">
        <v>2</v>
      </c>
      <c r="M395" t="s">
        <v>13</v>
      </c>
      <c r="N395" s="1">
        <v>45872</v>
      </c>
      <c r="T395">
        <f>O395+P395+S395</f>
        <v>0</v>
      </c>
      <c r="U395" t="s">
        <v>14</v>
      </c>
    </row>
    <row r="396" spans="1:21">
      <c r="A396">
        <v>3</v>
      </c>
      <c r="B396" t="s">
        <v>15</v>
      </c>
      <c r="C396" s="1">
        <v>45871</v>
      </c>
      <c r="D396">
        <v>52</v>
      </c>
      <c r="E396">
        <v>36</v>
      </c>
      <c r="H396">
        <v>0</v>
      </c>
      <c r="I396">
        <f>SUM(D396,E396,H396)</f>
        <v>88</v>
      </c>
      <c r="J396" t="s">
        <v>16</v>
      </c>
      <c r="L396">
        <v>3</v>
      </c>
      <c r="M396" t="s">
        <v>15</v>
      </c>
      <c r="N396" s="1">
        <v>45872</v>
      </c>
      <c r="O396">
        <v>41</v>
      </c>
      <c r="P396">
        <v>31</v>
      </c>
      <c r="S396">
        <v>0</v>
      </c>
      <c r="T396">
        <f>SUM(O396,P396,S396)</f>
        <v>72</v>
      </c>
      <c r="U396" t="s">
        <v>16</v>
      </c>
    </row>
    <row r="397" spans="1:21">
      <c r="A397">
        <v>4</v>
      </c>
      <c r="B397" t="s">
        <v>17</v>
      </c>
      <c r="C397" s="1">
        <v>45871</v>
      </c>
      <c r="D397">
        <v>32</v>
      </c>
      <c r="E397">
        <v>8</v>
      </c>
      <c r="H397">
        <v>4</v>
      </c>
      <c r="I397">
        <f>D397+E397+H397</f>
        <v>44</v>
      </c>
      <c r="J397" t="s">
        <v>14</v>
      </c>
      <c r="L397">
        <v>4</v>
      </c>
      <c r="M397" t="s">
        <v>17</v>
      </c>
      <c r="N397" s="1">
        <v>45872</v>
      </c>
      <c r="O397">
        <v>35</v>
      </c>
      <c r="P397">
        <v>6</v>
      </c>
      <c r="S397">
        <v>3</v>
      </c>
      <c r="T397">
        <f>O397+P397+S397</f>
        <v>44</v>
      </c>
      <c r="U397" t="s">
        <v>14</v>
      </c>
    </row>
    <row r="398" spans="1:21">
      <c r="A398">
        <v>5</v>
      </c>
      <c r="B398" t="s">
        <v>18</v>
      </c>
      <c r="C398" s="1">
        <v>45871</v>
      </c>
      <c r="D398">
        <v>489</v>
      </c>
      <c r="E398">
        <v>737</v>
      </c>
      <c r="H398">
        <v>299</v>
      </c>
      <c r="I398">
        <f t="shared" ref="I398:I411" si="59">D398+E398+H398</f>
        <v>1525</v>
      </c>
      <c r="J398" t="s">
        <v>19</v>
      </c>
      <c r="L398">
        <v>5</v>
      </c>
      <c r="M398" t="s">
        <v>18</v>
      </c>
      <c r="N398" s="1">
        <v>45872</v>
      </c>
      <c r="T398">
        <f t="shared" ref="T398:T411" si="60">O398+P398+S398</f>
        <v>0</v>
      </c>
      <c r="U398" t="s">
        <v>19</v>
      </c>
    </row>
    <row r="399" spans="1:21">
      <c r="A399">
        <v>6</v>
      </c>
      <c r="B399" t="s">
        <v>20</v>
      </c>
      <c r="C399" s="1">
        <v>45871</v>
      </c>
      <c r="D399">
        <v>60</v>
      </c>
      <c r="E399">
        <v>47</v>
      </c>
      <c r="H399">
        <v>0</v>
      </c>
      <c r="I399">
        <f t="shared" si="59"/>
        <v>107</v>
      </c>
      <c r="J399" t="s">
        <v>21</v>
      </c>
      <c r="L399">
        <v>6</v>
      </c>
      <c r="M399" t="s">
        <v>20</v>
      </c>
      <c r="N399" s="1">
        <v>45872</v>
      </c>
      <c r="O399">
        <v>56</v>
      </c>
      <c r="P399">
        <v>50</v>
      </c>
      <c r="S399">
        <v>0</v>
      </c>
      <c r="T399">
        <f t="shared" si="60"/>
        <v>106</v>
      </c>
      <c r="U399" t="s">
        <v>21</v>
      </c>
    </row>
    <row r="400" spans="1:21">
      <c r="A400">
        <v>7</v>
      </c>
      <c r="B400" t="s">
        <v>22</v>
      </c>
      <c r="C400" s="1">
        <v>45871</v>
      </c>
      <c r="D400">
        <v>74</v>
      </c>
      <c r="E400">
        <v>61</v>
      </c>
      <c r="H400">
        <v>0</v>
      </c>
      <c r="I400">
        <f t="shared" si="59"/>
        <v>135</v>
      </c>
      <c r="J400" t="s">
        <v>14</v>
      </c>
      <c r="L400">
        <v>7</v>
      </c>
      <c r="M400" t="s">
        <v>22</v>
      </c>
      <c r="N400" s="1">
        <v>45872</v>
      </c>
      <c r="T400">
        <f t="shared" si="60"/>
        <v>0</v>
      </c>
      <c r="U400" t="s">
        <v>14</v>
      </c>
    </row>
    <row r="401" spans="1:21">
      <c r="A401">
        <v>8</v>
      </c>
      <c r="B401" t="s">
        <v>23</v>
      </c>
      <c r="C401" s="1">
        <v>45871</v>
      </c>
      <c r="I401">
        <f t="shared" si="59"/>
        <v>0</v>
      </c>
      <c r="J401" t="s">
        <v>12</v>
      </c>
      <c r="L401">
        <v>8</v>
      </c>
      <c r="M401" t="s">
        <v>23</v>
      </c>
      <c r="N401" s="1">
        <v>45872</v>
      </c>
      <c r="T401">
        <f t="shared" si="60"/>
        <v>0</v>
      </c>
      <c r="U401" t="s">
        <v>12</v>
      </c>
    </row>
    <row r="402" spans="1:21">
      <c r="A402">
        <v>9</v>
      </c>
      <c r="B402" t="s">
        <v>24</v>
      </c>
      <c r="C402" s="1">
        <v>45871</v>
      </c>
      <c r="D402">
        <v>40</v>
      </c>
      <c r="E402">
        <v>14</v>
      </c>
      <c r="H402">
        <v>3</v>
      </c>
      <c r="I402">
        <f t="shared" si="59"/>
        <v>57</v>
      </c>
      <c r="J402" t="s">
        <v>25</v>
      </c>
      <c r="L402">
        <v>9</v>
      </c>
      <c r="M402" t="s">
        <v>24</v>
      </c>
      <c r="N402" s="1">
        <v>45872</v>
      </c>
      <c r="T402">
        <f t="shared" si="60"/>
        <v>0</v>
      </c>
      <c r="U402" t="s">
        <v>25</v>
      </c>
    </row>
    <row r="403" spans="1:21">
      <c r="A403">
        <v>10</v>
      </c>
      <c r="B403" t="s">
        <v>26</v>
      </c>
      <c r="C403" s="1">
        <v>45871</v>
      </c>
      <c r="D403">
        <v>81</v>
      </c>
      <c r="E403">
        <v>133</v>
      </c>
      <c r="H403">
        <v>45</v>
      </c>
      <c r="I403">
        <f t="shared" si="59"/>
        <v>259</v>
      </c>
      <c r="J403" t="s">
        <v>16</v>
      </c>
      <c r="L403">
        <v>10</v>
      </c>
      <c r="M403" t="s">
        <v>26</v>
      </c>
      <c r="N403" s="1">
        <v>45872</v>
      </c>
      <c r="O403">
        <v>55</v>
      </c>
      <c r="P403">
        <v>77</v>
      </c>
      <c r="S403">
        <v>21</v>
      </c>
      <c r="T403">
        <f t="shared" si="60"/>
        <v>153</v>
      </c>
      <c r="U403" t="s">
        <v>16</v>
      </c>
    </row>
    <row r="404" spans="1:21">
      <c r="A404">
        <v>11</v>
      </c>
      <c r="B404" t="s">
        <v>27</v>
      </c>
      <c r="C404" s="1">
        <v>45871</v>
      </c>
      <c r="I404">
        <f t="shared" si="59"/>
        <v>0</v>
      </c>
      <c r="J404" t="s">
        <v>19</v>
      </c>
      <c r="L404">
        <v>11</v>
      </c>
      <c r="M404" t="s">
        <v>27</v>
      </c>
      <c r="N404" s="1">
        <v>45872</v>
      </c>
      <c r="T404">
        <f t="shared" si="60"/>
        <v>0</v>
      </c>
      <c r="U404" t="s">
        <v>19</v>
      </c>
    </row>
    <row r="405" spans="1:21">
      <c r="A405">
        <v>12</v>
      </c>
      <c r="B405" t="s">
        <v>28</v>
      </c>
      <c r="C405" s="1">
        <v>45871</v>
      </c>
      <c r="D405">
        <v>175</v>
      </c>
      <c r="E405">
        <v>192</v>
      </c>
      <c r="F405">
        <v>22</v>
      </c>
      <c r="G405">
        <v>19</v>
      </c>
      <c r="H405">
        <v>41</v>
      </c>
      <c r="I405">
        <f t="shared" si="59"/>
        <v>408</v>
      </c>
      <c r="J405" t="s">
        <v>25</v>
      </c>
      <c r="L405">
        <v>12</v>
      </c>
      <c r="M405" t="s">
        <v>28</v>
      </c>
      <c r="N405" s="1">
        <v>45872</v>
      </c>
      <c r="O405">
        <v>151</v>
      </c>
      <c r="P405">
        <v>138</v>
      </c>
      <c r="Q405">
        <v>23</v>
      </c>
      <c r="R405">
        <v>15</v>
      </c>
      <c r="S405">
        <v>38</v>
      </c>
      <c r="T405">
        <f t="shared" si="60"/>
        <v>327</v>
      </c>
      <c r="U405" t="s">
        <v>25</v>
      </c>
    </row>
    <row r="406" spans="1:21">
      <c r="A406">
        <v>13</v>
      </c>
      <c r="B406" t="s">
        <v>29</v>
      </c>
      <c r="C406" s="1">
        <v>45871</v>
      </c>
      <c r="I406">
        <f t="shared" si="59"/>
        <v>0</v>
      </c>
      <c r="J406" t="s">
        <v>30</v>
      </c>
      <c r="L406">
        <v>13</v>
      </c>
      <c r="M406" t="s">
        <v>29</v>
      </c>
      <c r="N406" s="1">
        <v>45872</v>
      </c>
      <c r="O406">
        <v>30</v>
      </c>
      <c r="P406">
        <v>12</v>
      </c>
      <c r="S406">
        <v>0</v>
      </c>
      <c r="T406">
        <f t="shared" si="60"/>
        <v>42</v>
      </c>
      <c r="U406" t="s">
        <v>30</v>
      </c>
    </row>
    <row r="407" spans="1:21">
      <c r="A407">
        <v>14</v>
      </c>
      <c r="B407" t="s">
        <v>31</v>
      </c>
      <c r="C407" s="1">
        <v>45871</v>
      </c>
      <c r="D407">
        <v>27</v>
      </c>
      <c r="E407">
        <v>24</v>
      </c>
      <c r="F407">
        <v>3</v>
      </c>
      <c r="G407">
        <v>5</v>
      </c>
      <c r="H407">
        <v>8</v>
      </c>
      <c r="I407">
        <f t="shared" si="59"/>
        <v>59</v>
      </c>
      <c r="J407" t="s">
        <v>12</v>
      </c>
      <c r="L407">
        <v>14</v>
      </c>
      <c r="M407" t="s">
        <v>31</v>
      </c>
      <c r="N407" s="1">
        <v>45872</v>
      </c>
      <c r="O407">
        <v>29</v>
      </c>
      <c r="P407">
        <v>22</v>
      </c>
      <c r="Q407">
        <v>3</v>
      </c>
      <c r="R407">
        <v>5</v>
      </c>
      <c r="S407">
        <v>8</v>
      </c>
      <c r="T407">
        <f t="shared" si="60"/>
        <v>59</v>
      </c>
      <c r="U407" t="s">
        <v>12</v>
      </c>
    </row>
    <row r="408" spans="1:21">
      <c r="A408">
        <v>15</v>
      </c>
      <c r="B408" t="s">
        <v>32</v>
      </c>
      <c r="C408" s="1">
        <v>45871</v>
      </c>
      <c r="I408">
        <f t="shared" si="59"/>
        <v>0</v>
      </c>
      <c r="J408" t="s">
        <v>33</v>
      </c>
      <c r="L408">
        <v>15</v>
      </c>
      <c r="M408" t="s">
        <v>32</v>
      </c>
      <c r="N408" s="1">
        <v>45872</v>
      </c>
      <c r="T408">
        <f t="shared" si="60"/>
        <v>0</v>
      </c>
      <c r="U408" t="s">
        <v>33</v>
      </c>
    </row>
    <row r="409" spans="1:21">
      <c r="A409">
        <v>16</v>
      </c>
      <c r="B409" t="s">
        <v>34</v>
      </c>
      <c r="C409" s="1">
        <v>45871</v>
      </c>
      <c r="D409">
        <v>12</v>
      </c>
      <c r="E409">
        <v>11</v>
      </c>
      <c r="F409">
        <v>6</v>
      </c>
      <c r="G409">
        <v>0</v>
      </c>
      <c r="H409">
        <v>6</v>
      </c>
      <c r="I409">
        <f t="shared" si="59"/>
        <v>29</v>
      </c>
      <c r="J409" t="s">
        <v>21</v>
      </c>
      <c r="L409">
        <v>16</v>
      </c>
      <c r="M409" t="s">
        <v>34</v>
      </c>
      <c r="N409" s="1">
        <v>45872</v>
      </c>
      <c r="T409">
        <f t="shared" si="60"/>
        <v>0</v>
      </c>
      <c r="U409" t="s">
        <v>21</v>
      </c>
    </row>
    <row r="410" spans="1:21">
      <c r="A410">
        <v>17</v>
      </c>
      <c r="B410" t="s">
        <v>35</v>
      </c>
      <c r="C410" s="1">
        <v>45871</v>
      </c>
      <c r="I410">
        <f t="shared" si="59"/>
        <v>0</v>
      </c>
      <c r="J410" t="s">
        <v>33</v>
      </c>
      <c r="L410">
        <v>17</v>
      </c>
      <c r="M410" t="s">
        <v>35</v>
      </c>
      <c r="N410" s="1">
        <v>45872</v>
      </c>
      <c r="T410">
        <f t="shared" si="60"/>
        <v>0</v>
      </c>
      <c r="U410" t="s">
        <v>33</v>
      </c>
    </row>
    <row r="411" spans="1:21">
      <c r="A411">
        <v>18</v>
      </c>
      <c r="B411" t="s">
        <v>36</v>
      </c>
      <c r="C411" s="1">
        <v>45871</v>
      </c>
      <c r="I411">
        <f t="shared" si="59"/>
        <v>0</v>
      </c>
      <c r="J411" t="s">
        <v>33</v>
      </c>
      <c r="L411">
        <v>18</v>
      </c>
      <c r="M411" t="s">
        <v>36</v>
      </c>
      <c r="N411" s="1">
        <v>45872</v>
      </c>
      <c r="T411">
        <f t="shared" si="60"/>
        <v>0</v>
      </c>
      <c r="U411" t="s">
        <v>33</v>
      </c>
    </row>
    <row r="412" spans="1:21">
      <c r="A412">
        <v>19</v>
      </c>
      <c r="B412" t="s">
        <v>37</v>
      </c>
      <c r="C412" s="1">
        <v>45871</v>
      </c>
      <c r="I412">
        <f>D412+E412+H412</f>
        <v>0</v>
      </c>
      <c r="L412">
        <v>19</v>
      </c>
      <c r="M412" t="s">
        <v>37</v>
      </c>
      <c r="N412" s="1">
        <v>45872</v>
      </c>
      <c r="T412">
        <f>O412+P412+S412</f>
        <v>0</v>
      </c>
    </row>
    <row r="413" spans="1:21">
      <c r="A413">
        <v>20</v>
      </c>
      <c r="B413" t="s">
        <v>38</v>
      </c>
      <c r="C413" s="1">
        <v>45871</v>
      </c>
      <c r="I413">
        <f t="shared" ref="I413" si="61">D413+E413+H413</f>
        <v>0</v>
      </c>
      <c r="J413" t="s">
        <v>19</v>
      </c>
      <c r="L413">
        <v>20</v>
      </c>
      <c r="M413" t="s">
        <v>38</v>
      </c>
      <c r="N413" s="1">
        <v>45872</v>
      </c>
      <c r="T413">
        <f t="shared" ref="T413" si="62">O413+P413+S413</f>
        <v>0</v>
      </c>
      <c r="U413" t="s">
        <v>19</v>
      </c>
    </row>
    <row r="414" spans="1:21">
      <c r="B414" t="s">
        <v>9</v>
      </c>
      <c r="D414">
        <f>D394+D395+D396+D397+D398+D399+D401+D400+D402+D403+D404+D405+D406+D407+D409+D411</f>
        <v>1076</v>
      </c>
      <c r="E414">
        <f>SUM(E394:E413)</f>
        <v>1287</v>
      </c>
      <c r="I414">
        <f>I394+I395+I396+I397+I398+I399+I400+I401+I402+I403+I404+I405+I406+I407+I408+I409+I410+I411+I412+I413</f>
        <v>2776</v>
      </c>
      <c r="M414" t="s">
        <v>9</v>
      </c>
      <c r="O414">
        <f>O394+O395+O396+O397+O398+O399+O401+O400+O402+O403+O404+O405+O406+O407+O409+O411</f>
        <v>411</v>
      </c>
      <c r="P414">
        <f>SUM(P394:P413)</f>
        <v>345</v>
      </c>
      <c r="T414">
        <f>T394+T395+T396+T397+T398+T399+T400+T401+T402+T403+T404+T405+T406+T407+T408+T409+T410+T411+T412+T413</f>
        <v>826</v>
      </c>
    </row>
    <row r="416" spans="1:21">
      <c r="A416" t="s">
        <v>1</v>
      </c>
      <c r="B416" t="s">
        <v>2</v>
      </c>
      <c r="C416" t="s">
        <v>3</v>
      </c>
      <c r="D416" t="s">
        <v>4</v>
      </c>
      <c r="E416" t="s">
        <v>5</v>
      </c>
      <c r="F416" t="s">
        <v>6</v>
      </c>
      <c r="G416" t="s">
        <v>7</v>
      </c>
      <c r="H416" t="s">
        <v>8</v>
      </c>
      <c r="I416" t="s">
        <v>9</v>
      </c>
      <c r="J416" t="s">
        <v>10</v>
      </c>
      <c r="L416" t="s">
        <v>1</v>
      </c>
      <c r="M416" t="s">
        <v>2</v>
      </c>
      <c r="N416" t="s">
        <v>3</v>
      </c>
      <c r="O416" t="s">
        <v>4</v>
      </c>
      <c r="P416" t="s">
        <v>5</v>
      </c>
      <c r="Q416" t="s">
        <v>6</v>
      </c>
      <c r="R416" t="s">
        <v>7</v>
      </c>
      <c r="S416" t="s">
        <v>8</v>
      </c>
      <c r="T416" t="s">
        <v>9</v>
      </c>
      <c r="U416" t="s">
        <v>10</v>
      </c>
    </row>
    <row r="417" spans="1:21">
      <c r="A417">
        <v>1</v>
      </c>
      <c r="B417" t="s">
        <v>11</v>
      </c>
      <c r="C417" s="1">
        <v>45873</v>
      </c>
      <c r="D417">
        <v>21</v>
      </c>
      <c r="E417">
        <v>18</v>
      </c>
      <c r="H417">
        <v>0</v>
      </c>
      <c r="I417">
        <f>D417+E417+H417</f>
        <v>39</v>
      </c>
      <c r="J417" t="s">
        <v>12</v>
      </c>
      <c r="L417">
        <v>1</v>
      </c>
      <c r="M417" t="s">
        <v>11</v>
      </c>
      <c r="N417" s="1">
        <v>45874</v>
      </c>
      <c r="O417">
        <v>21</v>
      </c>
      <c r="P417">
        <v>16</v>
      </c>
      <c r="Q417">
        <v>1</v>
      </c>
      <c r="R417">
        <v>1</v>
      </c>
      <c r="S417">
        <v>2</v>
      </c>
      <c r="T417">
        <f>O417+P417+S417</f>
        <v>39</v>
      </c>
      <c r="U417" t="s">
        <v>12</v>
      </c>
    </row>
    <row r="418" spans="1:21">
      <c r="A418">
        <v>2</v>
      </c>
      <c r="B418" t="s">
        <v>13</v>
      </c>
      <c r="C418" s="1">
        <v>45873</v>
      </c>
      <c r="D418">
        <v>13</v>
      </c>
      <c r="E418">
        <v>5</v>
      </c>
      <c r="F418">
        <v>2</v>
      </c>
      <c r="G418">
        <v>0</v>
      </c>
      <c r="H418">
        <v>2</v>
      </c>
      <c r="I418">
        <f>D418+E418+H418</f>
        <v>20</v>
      </c>
      <c r="J418" t="s">
        <v>14</v>
      </c>
      <c r="L418">
        <v>2</v>
      </c>
      <c r="M418" t="s">
        <v>13</v>
      </c>
      <c r="N418" s="1">
        <v>45874</v>
      </c>
      <c r="O418">
        <v>9</v>
      </c>
      <c r="P418">
        <v>4</v>
      </c>
      <c r="Q418">
        <v>0</v>
      </c>
      <c r="R418">
        <v>0</v>
      </c>
      <c r="S418">
        <v>0</v>
      </c>
      <c r="T418">
        <f>O418+P418+S418</f>
        <v>13</v>
      </c>
      <c r="U418" t="s">
        <v>14</v>
      </c>
    </row>
    <row r="419" spans="1:21">
      <c r="A419">
        <v>3</v>
      </c>
      <c r="B419" t="s">
        <v>15</v>
      </c>
      <c r="C419" s="1">
        <v>45873</v>
      </c>
      <c r="D419">
        <v>45</v>
      </c>
      <c r="E419">
        <v>50</v>
      </c>
      <c r="H419">
        <v>0</v>
      </c>
      <c r="I419">
        <f>SUM(D419,E419,H419)</f>
        <v>95</v>
      </c>
      <c r="J419" t="s">
        <v>16</v>
      </c>
      <c r="L419">
        <v>3</v>
      </c>
      <c r="M419" t="s">
        <v>15</v>
      </c>
      <c r="N419" s="1">
        <v>45874</v>
      </c>
      <c r="O419">
        <v>49</v>
      </c>
      <c r="P419">
        <v>55</v>
      </c>
      <c r="S419">
        <v>0</v>
      </c>
      <c r="T419">
        <f>SUM(O419,P419,S419)</f>
        <v>104</v>
      </c>
      <c r="U419" t="s">
        <v>16</v>
      </c>
    </row>
    <row r="420" spans="1:21">
      <c r="A420">
        <v>4</v>
      </c>
      <c r="B420" t="s">
        <v>17</v>
      </c>
      <c r="C420" s="1">
        <v>45873</v>
      </c>
      <c r="D420">
        <v>28</v>
      </c>
      <c r="E420">
        <v>20</v>
      </c>
      <c r="H420">
        <v>2</v>
      </c>
      <c r="I420">
        <v>368</v>
      </c>
      <c r="J420" t="s">
        <v>14</v>
      </c>
      <c r="L420">
        <v>4</v>
      </c>
      <c r="M420" t="s">
        <v>17</v>
      </c>
      <c r="N420" s="1">
        <v>45874</v>
      </c>
      <c r="O420">
        <v>46</v>
      </c>
      <c r="P420">
        <v>22</v>
      </c>
      <c r="S420">
        <v>2</v>
      </c>
      <c r="T420">
        <v>368</v>
      </c>
      <c r="U420" t="s">
        <v>14</v>
      </c>
    </row>
    <row r="421" spans="1:21">
      <c r="A421">
        <v>5</v>
      </c>
      <c r="B421" t="s">
        <v>18</v>
      </c>
      <c r="C421" s="1">
        <v>45873</v>
      </c>
      <c r="I421">
        <f t="shared" ref="I421:I434" si="63">D421+E421+H421</f>
        <v>0</v>
      </c>
      <c r="J421" t="s">
        <v>19</v>
      </c>
      <c r="L421">
        <v>5</v>
      </c>
      <c r="M421" t="s">
        <v>18</v>
      </c>
      <c r="N421" s="1">
        <v>45874</v>
      </c>
      <c r="O421">
        <v>372</v>
      </c>
      <c r="P421">
        <v>742</v>
      </c>
      <c r="S421">
        <v>199</v>
      </c>
      <c r="T421">
        <f t="shared" ref="T421:T434" si="64">O421+P421+S421</f>
        <v>1313</v>
      </c>
      <c r="U421" t="s">
        <v>19</v>
      </c>
    </row>
    <row r="422" spans="1:21">
      <c r="A422">
        <v>6</v>
      </c>
      <c r="B422" t="s">
        <v>20</v>
      </c>
      <c r="C422" s="1">
        <v>45873</v>
      </c>
      <c r="I422">
        <f t="shared" si="63"/>
        <v>0</v>
      </c>
      <c r="J422" t="s">
        <v>21</v>
      </c>
      <c r="L422">
        <v>6</v>
      </c>
      <c r="M422" t="s">
        <v>20</v>
      </c>
      <c r="N422" s="1">
        <v>45874</v>
      </c>
      <c r="O422">
        <v>83</v>
      </c>
      <c r="P422">
        <v>50</v>
      </c>
      <c r="S422">
        <v>0</v>
      </c>
      <c r="T422">
        <f t="shared" si="64"/>
        <v>133</v>
      </c>
      <c r="U422" t="s">
        <v>21</v>
      </c>
    </row>
    <row r="423" spans="1:21">
      <c r="A423">
        <v>7</v>
      </c>
      <c r="B423" t="s">
        <v>22</v>
      </c>
      <c r="C423" s="1">
        <v>45873</v>
      </c>
      <c r="D423">
        <v>66</v>
      </c>
      <c r="E423">
        <v>0</v>
      </c>
      <c r="H423">
        <v>8</v>
      </c>
      <c r="I423">
        <f t="shared" si="63"/>
        <v>74</v>
      </c>
      <c r="J423" t="s">
        <v>14</v>
      </c>
      <c r="L423">
        <v>7</v>
      </c>
      <c r="M423" t="s">
        <v>22</v>
      </c>
      <c r="N423" s="1">
        <v>45874</v>
      </c>
      <c r="T423">
        <f t="shared" si="64"/>
        <v>0</v>
      </c>
      <c r="U423" t="s">
        <v>14</v>
      </c>
    </row>
    <row r="424" spans="1:21">
      <c r="A424">
        <v>8</v>
      </c>
      <c r="B424" t="s">
        <v>23</v>
      </c>
      <c r="C424" s="1">
        <v>45873</v>
      </c>
      <c r="I424">
        <f t="shared" si="63"/>
        <v>0</v>
      </c>
      <c r="J424" t="s">
        <v>12</v>
      </c>
      <c r="L424">
        <v>8</v>
      </c>
      <c r="M424" t="s">
        <v>23</v>
      </c>
      <c r="N424" s="1">
        <v>45874</v>
      </c>
      <c r="T424">
        <f t="shared" si="64"/>
        <v>0</v>
      </c>
      <c r="U424" t="s">
        <v>12</v>
      </c>
    </row>
    <row r="425" spans="1:21">
      <c r="A425">
        <v>9</v>
      </c>
      <c r="B425" t="s">
        <v>24</v>
      </c>
      <c r="C425" s="1">
        <v>45873</v>
      </c>
      <c r="D425">
        <v>33</v>
      </c>
      <c r="E425">
        <v>8</v>
      </c>
      <c r="H425">
        <v>7</v>
      </c>
      <c r="I425">
        <f t="shared" si="63"/>
        <v>48</v>
      </c>
      <c r="J425" t="s">
        <v>25</v>
      </c>
      <c r="L425">
        <v>9</v>
      </c>
      <c r="M425" t="s">
        <v>24</v>
      </c>
      <c r="N425" s="1">
        <v>45874</v>
      </c>
      <c r="O425">
        <v>35</v>
      </c>
      <c r="P425">
        <v>14</v>
      </c>
      <c r="S425">
        <v>2</v>
      </c>
      <c r="T425">
        <f t="shared" si="64"/>
        <v>51</v>
      </c>
      <c r="U425" t="s">
        <v>25</v>
      </c>
    </row>
    <row r="426" spans="1:21">
      <c r="A426">
        <v>10</v>
      </c>
      <c r="B426" t="s">
        <v>26</v>
      </c>
      <c r="C426" s="1">
        <v>45873</v>
      </c>
      <c r="D426">
        <v>148</v>
      </c>
      <c r="E426">
        <v>81</v>
      </c>
      <c r="H426">
        <v>43</v>
      </c>
      <c r="I426">
        <f t="shared" si="63"/>
        <v>272</v>
      </c>
      <c r="J426" t="s">
        <v>16</v>
      </c>
      <c r="L426">
        <v>10</v>
      </c>
      <c r="M426" t="s">
        <v>26</v>
      </c>
      <c r="N426" s="1">
        <v>45874</v>
      </c>
      <c r="T426">
        <f t="shared" si="64"/>
        <v>0</v>
      </c>
      <c r="U426" t="s">
        <v>16</v>
      </c>
    </row>
    <row r="427" spans="1:21">
      <c r="A427">
        <v>11</v>
      </c>
      <c r="B427" t="s">
        <v>27</v>
      </c>
      <c r="C427" s="1">
        <v>45873</v>
      </c>
      <c r="I427">
        <f t="shared" si="63"/>
        <v>0</v>
      </c>
      <c r="J427" t="s">
        <v>19</v>
      </c>
      <c r="L427">
        <v>11</v>
      </c>
      <c r="M427" t="s">
        <v>27</v>
      </c>
      <c r="N427" s="1">
        <v>45874</v>
      </c>
      <c r="T427">
        <f t="shared" si="64"/>
        <v>0</v>
      </c>
      <c r="U427" t="s">
        <v>19</v>
      </c>
    </row>
    <row r="428" spans="1:21">
      <c r="A428">
        <v>12</v>
      </c>
      <c r="B428" t="s">
        <v>28</v>
      </c>
      <c r="C428" s="1">
        <v>45873</v>
      </c>
      <c r="D428">
        <v>169</v>
      </c>
      <c r="E428">
        <v>195</v>
      </c>
      <c r="F428">
        <v>18</v>
      </c>
      <c r="G428">
        <v>23</v>
      </c>
      <c r="H428">
        <v>41</v>
      </c>
      <c r="I428">
        <f t="shared" si="63"/>
        <v>405</v>
      </c>
      <c r="J428" t="s">
        <v>25</v>
      </c>
      <c r="L428">
        <v>12</v>
      </c>
      <c r="M428" t="s">
        <v>28</v>
      </c>
      <c r="N428" s="1">
        <v>45874</v>
      </c>
      <c r="O428">
        <v>176</v>
      </c>
      <c r="P428">
        <v>186</v>
      </c>
      <c r="Q428">
        <v>21</v>
      </c>
      <c r="R428">
        <v>16</v>
      </c>
      <c r="S428">
        <v>37</v>
      </c>
      <c r="T428">
        <f t="shared" si="64"/>
        <v>399</v>
      </c>
      <c r="U428" t="s">
        <v>25</v>
      </c>
    </row>
    <row r="429" spans="1:21">
      <c r="A429">
        <v>13</v>
      </c>
      <c r="B429" t="s">
        <v>29</v>
      </c>
      <c r="C429" s="1">
        <v>45873</v>
      </c>
      <c r="I429">
        <f t="shared" si="63"/>
        <v>0</v>
      </c>
      <c r="J429" t="s">
        <v>30</v>
      </c>
      <c r="L429">
        <v>13</v>
      </c>
      <c r="M429" t="s">
        <v>29</v>
      </c>
      <c r="N429" s="1">
        <v>45874</v>
      </c>
      <c r="O429">
        <v>92</v>
      </c>
      <c r="P429">
        <v>101</v>
      </c>
      <c r="Q429">
        <v>7</v>
      </c>
      <c r="R429">
        <v>10</v>
      </c>
      <c r="S429">
        <v>17</v>
      </c>
      <c r="T429">
        <f t="shared" si="64"/>
        <v>210</v>
      </c>
      <c r="U429" t="s">
        <v>30</v>
      </c>
    </row>
    <row r="430" spans="1:21">
      <c r="A430">
        <v>14</v>
      </c>
      <c r="B430" t="s">
        <v>31</v>
      </c>
      <c r="C430" s="1">
        <v>45873</v>
      </c>
      <c r="D430">
        <v>51</v>
      </c>
      <c r="E430">
        <v>85</v>
      </c>
      <c r="F430">
        <v>5</v>
      </c>
      <c r="G430">
        <v>7</v>
      </c>
      <c r="H430">
        <v>12</v>
      </c>
      <c r="I430">
        <f t="shared" si="63"/>
        <v>148</v>
      </c>
      <c r="J430" t="s">
        <v>12</v>
      </c>
      <c r="L430">
        <v>14</v>
      </c>
      <c r="M430" t="s">
        <v>31</v>
      </c>
      <c r="N430" s="1">
        <v>45874</v>
      </c>
      <c r="O430">
        <v>21</v>
      </c>
      <c r="P430">
        <v>29</v>
      </c>
      <c r="Q430">
        <v>0</v>
      </c>
      <c r="R430">
        <v>0</v>
      </c>
      <c r="S430">
        <v>0</v>
      </c>
      <c r="T430">
        <f t="shared" si="64"/>
        <v>50</v>
      </c>
      <c r="U430" t="s">
        <v>12</v>
      </c>
    </row>
    <row r="431" spans="1:21">
      <c r="A431">
        <v>15</v>
      </c>
      <c r="B431" t="s">
        <v>32</v>
      </c>
      <c r="C431" s="1">
        <v>45873</v>
      </c>
      <c r="I431">
        <f t="shared" si="63"/>
        <v>0</v>
      </c>
      <c r="J431" t="s">
        <v>33</v>
      </c>
      <c r="L431">
        <v>15</v>
      </c>
      <c r="M431" t="s">
        <v>32</v>
      </c>
      <c r="N431" s="1">
        <v>45874</v>
      </c>
      <c r="T431">
        <f t="shared" si="64"/>
        <v>0</v>
      </c>
      <c r="U431" t="s">
        <v>33</v>
      </c>
    </row>
    <row r="432" spans="1:21">
      <c r="A432">
        <v>16</v>
      </c>
      <c r="B432" t="s">
        <v>34</v>
      </c>
      <c r="C432" s="1">
        <v>45873</v>
      </c>
      <c r="D432">
        <v>19</v>
      </c>
      <c r="E432">
        <v>13</v>
      </c>
      <c r="F432">
        <v>8</v>
      </c>
      <c r="G432">
        <v>0</v>
      </c>
      <c r="H432">
        <v>8</v>
      </c>
      <c r="I432">
        <f t="shared" si="63"/>
        <v>40</v>
      </c>
      <c r="J432" t="s">
        <v>21</v>
      </c>
      <c r="L432">
        <v>16</v>
      </c>
      <c r="M432" t="s">
        <v>34</v>
      </c>
      <c r="N432" s="1">
        <v>45874</v>
      </c>
      <c r="O432">
        <v>15</v>
      </c>
      <c r="P432">
        <v>11</v>
      </c>
      <c r="Q432">
        <v>3</v>
      </c>
      <c r="R432">
        <v>1</v>
      </c>
      <c r="S432">
        <v>4</v>
      </c>
      <c r="T432">
        <f t="shared" si="64"/>
        <v>30</v>
      </c>
      <c r="U432" t="s">
        <v>21</v>
      </c>
    </row>
    <row r="433" spans="1:21">
      <c r="A433">
        <v>17</v>
      </c>
      <c r="B433" t="s">
        <v>35</v>
      </c>
      <c r="C433" s="1">
        <v>45873</v>
      </c>
      <c r="I433">
        <f t="shared" si="63"/>
        <v>0</v>
      </c>
      <c r="J433" t="s">
        <v>33</v>
      </c>
      <c r="L433">
        <v>17</v>
      </c>
      <c r="M433" t="s">
        <v>35</v>
      </c>
      <c r="N433" s="1">
        <v>45874</v>
      </c>
      <c r="T433">
        <f t="shared" si="64"/>
        <v>0</v>
      </c>
      <c r="U433" t="s">
        <v>33</v>
      </c>
    </row>
    <row r="434" spans="1:21">
      <c r="A434">
        <v>18</v>
      </c>
      <c r="B434" t="s">
        <v>36</v>
      </c>
      <c r="C434" s="1">
        <v>45873</v>
      </c>
      <c r="I434">
        <f t="shared" si="63"/>
        <v>0</v>
      </c>
      <c r="J434" t="s">
        <v>33</v>
      </c>
      <c r="L434">
        <v>18</v>
      </c>
      <c r="M434" t="s">
        <v>36</v>
      </c>
      <c r="N434" s="1">
        <v>45874</v>
      </c>
      <c r="O434">
        <v>265</v>
      </c>
      <c r="P434">
        <v>283</v>
      </c>
      <c r="S434">
        <v>0</v>
      </c>
      <c r="T434">
        <f t="shared" si="64"/>
        <v>548</v>
      </c>
      <c r="U434" t="s">
        <v>33</v>
      </c>
    </row>
    <row r="435" spans="1:21">
      <c r="A435">
        <v>19</v>
      </c>
      <c r="B435" t="s">
        <v>37</v>
      </c>
      <c r="C435" s="1">
        <v>45873</v>
      </c>
      <c r="I435">
        <f>D435+E435+H435</f>
        <v>0</v>
      </c>
      <c r="L435">
        <v>19</v>
      </c>
      <c r="M435" t="s">
        <v>37</v>
      </c>
      <c r="N435" s="1">
        <v>45874</v>
      </c>
      <c r="T435">
        <f>O435+P435+S435</f>
        <v>0</v>
      </c>
    </row>
    <row r="436" spans="1:21">
      <c r="A436">
        <v>20</v>
      </c>
      <c r="B436" t="s">
        <v>38</v>
      </c>
      <c r="C436" s="1">
        <v>45873</v>
      </c>
      <c r="I436">
        <f t="shared" ref="I436" si="65">D436+E436+H436</f>
        <v>0</v>
      </c>
      <c r="J436" t="s">
        <v>19</v>
      </c>
      <c r="L436">
        <v>20</v>
      </c>
      <c r="M436" t="s">
        <v>38</v>
      </c>
      <c r="N436" s="1">
        <v>45874</v>
      </c>
      <c r="T436">
        <f t="shared" ref="T436" si="66">O436+P436+S436</f>
        <v>0</v>
      </c>
      <c r="U436" t="s">
        <v>19</v>
      </c>
    </row>
    <row r="437" spans="1:21">
      <c r="B437" t="s">
        <v>9</v>
      </c>
      <c r="D437">
        <f>D417+D418+D419+D420+D421+D422+D424+D423+D425+D426+D427+D428+D429+D430+D432+D434</f>
        <v>593</v>
      </c>
      <c r="E437">
        <f>SUM(E417:E436)</f>
        <v>475</v>
      </c>
      <c r="I437">
        <f>I417+I418+I419+I420+I421+I422+I423+I424+I425+I426+I427+I428+I429+I430+I431+I432+I433+I434+I435+I436</f>
        <v>1509</v>
      </c>
      <c r="M437" t="s">
        <v>9</v>
      </c>
      <c r="O437">
        <f>O417+O418+O419+O420+O421+O422+O424+O423+O425+O426+O427+O428+O429+O430+O432+O434</f>
        <v>1184</v>
      </c>
      <c r="P437">
        <f>SUM(P417:P436)</f>
        <v>1513</v>
      </c>
      <c r="T437">
        <f>T417+T418+T419+T420+T421+T422+T423+T424+T425+T426+T427+T428+T429+T430+T431+T432+T433+T434+T435+T436</f>
        <v>3258</v>
      </c>
    </row>
    <row r="439" spans="1:21">
      <c r="A439" t="s">
        <v>1</v>
      </c>
      <c r="B439" t="s">
        <v>2</v>
      </c>
      <c r="C439" t="s">
        <v>3</v>
      </c>
      <c r="D439" t="s">
        <v>4</v>
      </c>
      <c r="E439" t="s">
        <v>5</v>
      </c>
      <c r="F439" t="s">
        <v>6</v>
      </c>
      <c r="G439" t="s">
        <v>7</v>
      </c>
      <c r="H439" t="s">
        <v>8</v>
      </c>
      <c r="I439" t="s">
        <v>9</v>
      </c>
      <c r="J439" t="s">
        <v>10</v>
      </c>
      <c r="L439" t="s">
        <v>1</v>
      </c>
      <c r="M439" t="s">
        <v>2</v>
      </c>
      <c r="N439" t="s">
        <v>3</v>
      </c>
      <c r="O439" t="s">
        <v>4</v>
      </c>
      <c r="P439" t="s">
        <v>5</v>
      </c>
      <c r="Q439" t="s">
        <v>6</v>
      </c>
      <c r="R439" t="s">
        <v>7</v>
      </c>
      <c r="S439" t="s">
        <v>8</v>
      </c>
      <c r="T439" t="s">
        <v>9</v>
      </c>
      <c r="U439" t="s">
        <v>10</v>
      </c>
    </row>
    <row r="440" spans="1:21">
      <c r="A440">
        <v>1</v>
      </c>
      <c r="B440" t="s">
        <v>11</v>
      </c>
      <c r="C440" s="1">
        <v>45875</v>
      </c>
      <c r="D440">
        <v>19</v>
      </c>
      <c r="E440">
        <v>12</v>
      </c>
      <c r="F440">
        <v>0</v>
      </c>
      <c r="G440">
        <v>0</v>
      </c>
      <c r="H440">
        <v>0</v>
      </c>
      <c r="I440">
        <f>D440+E440+H440</f>
        <v>31</v>
      </c>
      <c r="J440" t="s">
        <v>12</v>
      </c>
      <c r="L440">
        <v>1</v>
      </c>
      <c r="M440" t="s">
        <v>11</v>
      </c>
      <c r="N440" s="1">
        <v>45876</v>
      </c>
      <c r="O440">
        <v>29</v>
      </c>
      <c r="P440">
        <v>22</v>
      </c>
      <c r="Q440">
        <v>2</v>
      </c>
      <c r="R440">
        <v>7</v>
      </c>
      <c r="S440">
        <v>9</v>
      </c>
      <c r="T440">
        <f>O440+P440+S440</f>
        <v>60</v>
      </c>
      <c r="U440" t="s">
        <v>12</v>
      </c>
    </row>
    <row r="441" spans="1:21">
      <c r="A441">
        <v>2</v>
      </c>
      <c r="B441" t="s">
        <v>13</v>
      </c>
      <c r="C441" s="1">
        <v>45875</v>
      </c>
      <c r="D441">
        <v>14</v>
      </c>
      <c r="E441">
        <v>10</v>
      </c>
      <c r="F441">
        <v>0</v>
      </c>
      <c r="G441">
        <v>0</v>
      </c>
      <c r="H441">
        <v>0</v>
      </c>
      <c r="I441">
        <f>D441+E441+H441</f>
        <v>24</v>
      </c>
      <c r="J441" t="s">
        <v>14</v>
      </c>
      <c r="L441">
        <v>2</v>
      </c>
      <c r="M441" t="s">
        <v>13</v>
      </c>
      <c r="N441" s="1">
        <v>45876</v>
      </c>
      <c r="O441">
        <v>11</v>
      </c>
      <c r="P441">
        <v>3</v>
      </c>
      <c r="Q441">
        <v>0</v>
      </c>
      <c r="R441">
        <v>0</v>
      </c>
      <c r="S441">
        <v>0</v>
      </c>
      <c r="T441">
        <f>O441+P441+S441</f>
        <v>14</v>
      </c>
      <c r="U441" t="s">
        <v>14</v>
      </c>
    </row>
    <row r="442" spans="1:21">
      <c r="A442">
        <v>3</v>
      </c>
      <c r="B442" t="s">
        <v>15</v>
      </c>
      <c r="C442" s="1">
        <v>45875</v>
      </c>
      <c r="D442">
        <v>44</v>
      </c>
      <c r="E442">
        <v>42</v>
      </c>
      <c r="H442">
        <v>0</v>
      </c>
      <c r="I442">
        <f>SUM(D442,E442,H442)</f>
        <v>86</v>
      </c>
      <c r="J442" t="s">
        <v>16</v>
      </c>
      <c r="L442">
        <v>3</v>
      </c>
      <c r="M442" t="s">
        <v>15</v>
      </c>
      <c r="N442" s="1">
        <v>45876</v>
      </c>
      <c r="O442">
        <v>36</v>
      </c>
      <c r="P442">
        <v>38</v>
      </c>
      <c r="S442">
        <v>0</v>
      </c>
      <c r="T442">
        <f>SUM(O442,P442,S442)</f>
        <v>74</v>
      </c>
      <c r="U442" t="s">
        <v>16</v>
      </c>
    </row>
    <row r="443" spans="1:21">
      <c r="A443">
        <v>4</v>
      </c>
      <c r="B443" t="s">
        <v>17</v>
      </c>
      <c r="C443" s="1">
        <v>45875</v>
      </c>
      <c r="D443">
        <v>36</v>
      </c>
      <c r="E443">
        <v>16</v>
      </c>
      <c r="F443">
        <v>0</v>
      </c>
      <c r="G443">
        <v>0</v>
      </c>
      <c r="H443">
        <v>0</v>
      </c>
      <c r="I443">
        <f>D443+E443+H443</f>
        <v>52</v>
      </c>
      <c r="J443" t="s">
        <v>14</v>
      </c>
      <c r="L443">
        <v>4</v>
      </c>
      <c r="M443" t="s">
        <v>17</v>
      </c>
      <c r="N443" s="1">
        <v>45876</v>
      </c>
      <c r="O443">
        <v>20</v>
      </c>
      <c r="P443">
        <v>9</v>
      </c>
      <c r="S443">
        <v>1</v>
      </c>
      <c r="T443">
        <v>0</v>
      </c>
      <c r="U443" t="s">
        <v>14</v>
      </c>
    </row>
    <row r="444" spans="1:21">
      <c r="A444">
        <v>5</v>
      </c>
      <c r="B444" t="s">
        <v>18</v>
      </c>
      <c r="C444" s="1">
        <v>45875</v>
      </c>
      <c r="D444">
        <v>297</v>
      </c>
      <c r="E444">
        <v>682</v>
      </c>
      <c r="H444">
        <v>186</v>
      </c>
      <c r="I444">
        <f t="shared" ref="I444:I457" si="67">D444+E444+H444</f>
        <v>1165</v>
      </c>
      <c r="J444" t="s">
        <v>19</v>
      </c>
      <c r="L444">
        <v>5</v>
      </c>
      <c r="M444" t="s">
        <v>18</v>
      </c>
      <c r="N444" s="1">
        <v>45876</v>
      </c>
      <c r="O444">
        <v>310</v>
      </c>
      <c r="P444">
        <v>597</v>
      </c>
      <c r="S444">
        <v>171</v>
      </c>
      <c r="T444">
        <f t="shared" ref="T444:T457" si="68">O444+P444+S444</f>
        <v>1078</v>
      </c>
      <c r="U444" t="s">
        <v>19</v>
      </c>
    </row>
    <row r="445" spans="1:21">
      <c r="A445">
        <v>6</v>
      </c>
      <c r="B445" t="s">
        <v>20</v>
      </c>
      <c r="C445" s="1">
        <v>45875</v>
      </c>
      <c r="D445">
        <v>119</v>
      </c>
      <c r="E445">
        <v>49</v>
      </c>
      <c r="H445">
        <v>0</v>
      </c>
      <c r="I445">
        <f t="shared" si="67"/>
        <v>168</v>
      </c>
      <c r="J445" t="s">
        <v>21</v>
      </c>
      <c r="L445">
        <v>6</v>
      </c>
      <c r="M445" t="s">
        <v>20</v>
      </c>
      <c r="N445" s="1">
        <v>45876</v>
      </c>
      <c r="O445">
        <v>93</v>
      </c>
      <c r="P445">
        <v>99</v>
      </c>
      <c r="S445">
        <v>0</v>
      </c>
      <c r="T445">
        <f t="shared" si="68"/>
        <v>192</v>
      </c>
      <c r="U445" t="s">
        <v>21</v>
      </c>
    </row>
    <row r="446" spans="1:21">
      <c r="A446">
        <v>7</v>
      </c>
      <c r="B446" t="s">
        <v>22</v>
      </c>
      <c r="C446" s="1">
        <v>45875</v>
      </c>
      <c r="I446">
        <f t="shared" si="67"/>
        <v>0</v>
      </c>
      <c r="J446" t="s">
        <v>14</v>
      </c>
      <c r="L446">
        <v>7</v>
      </c>
      <c r="M446" t="s">
        <v>22</v>
      </c>
      <c r="N446" s="1">
        <v>45876</v>
      </c>
      <c r="T446">
        <f t="shared" si="68"/>
        <v>0</v>
      </c>
      <c r="U446" t="s">
        <v>14</v>
      </c>
    </row>
    <row r="447" spans="1:21">
      <c r="A447">
        <v>8</v>
      </c>
      <c r="B447" t="s">
        <v>23</v>
      </c>
      <c r="C447" s="1">
        <v>45875</v>
      </c>
      <c r="I447">
        <f t="shared" si="67"/>
        <v>0</v>
      </c>
      <c r="J447" t="s">
        <v>12</v>
      </c>
      <c r="L447">
        <v>8</v>
      </c>
      <c r="M447" t="s">
        <v>23</v>
      </c>
      <c r="N447" s="1">
        <v>45876</v>
      </c>
      <c r="T447">
        <f t="shared" si="68"/>
        <v>0</v>
      </c>
      <c r="U447" t="s">
        <v>12</v>
      </c>
    </row>
    <row r="448" spans="1:21">
      <c r="A448">
        <v>9</v>
      </c>
      <c r="B448" t="s">
        <v>24</v>
      </c>
      <c r="C448" s="1">
        <v>45875</v>
      </c>
      <c r="D448">
        <v>32</v>
      </c>
      <c r="E448">
        <v>11</v>
      </c>
      <c r="H448">
        <v>15</v>
      </c>
      <c r="I448">
        <f t="shared" si="67"/>
        <v>58</v>
      </c>
      <c r="J448" t="s">
        <v>25</v>
      </c>
      <c r="L448">
        <v>9</v>
      </c>
      <c r="M448" t="s">
        <v>24</v>
      </c>
      <c r="N448" s="1">
        <v>45876</v>
      </c>
      <c r="O448">
        <v>53</v>
      </c>
      <c r="P448">
        <v>8</v>
      </c>
      <c r="S448">
        <v>4</v>
      </c>
      <c r="T448">
        <f t="shared" si="68"/>
        <v>65</v>
      </c>
      <c r="U448" t="s">
        <v>25</v>
      </c>
    </row>
    <row r="449" spans="1:21">
      <c r="A449">
        <v>10</v>
      </c>
      <c r="B449" t="s">
        <v>26</v>
      </c>
      <c r="C449" s="1">
        <v>45875</v>
      </c>
      <c r="D449">
        <v>128</v>
      </c>
      <c r="E449">
        <v>94</v>
      </c>
      <c r="H449">
        <v>33</v>
      </c>
      <c r="I449">
        <f t="shared" si="67"/>
        <v>255</v>
      </c>
      <c r="J449" t="s">
        <v>16</v>
      </c>
      <c r="L449">
        <v>10</v>
      </c>
      <c r="M449" t="s">
        <v>26</v>
      </c>
      <c r="N449" s="1">
        <v>45876</v>
      </c>
      <c r="O449">
        <v>128</v>
      </c>
      <c r="P449">
        <v>96</v>
      </c>
      <c r="S449">
        <v>24</v>
      </c>
      <c r="T449">
        <f t="shared" si="68"/>
        <v>248</v>
      </c>
      <c r="U449" t="s">
        <v>16</v>
      </c>
    </row>
    <row r="450" spans="1:21">
      <c r="A450">
        <v>11</v>
      </c>
      <c r="B450" t="s">
        <v>27</v>
      </c>
      <c r="C450" s="1">
        <v>45875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f t="shared" si="67"/>
        <v>0</v>
      </c>
      <c r="J450" t="s">
        <v>19</v>
      </c>
      <c r="L450">
        <v>11</v>
      </c>
      <c r="M450" t="s">
        <v>27</v>
      </c>
      <c r="N450" s="1">
        <v>45876</v>
      </c>
      <c r="O450">
        <v>9</v>
      </c>
      <c r="P450">
        <v>13</v>
      </c>
      <c r="Q450">
        <v>0</v>
      </c>
      <c r="R450">
        <v>0</v>
      </c>
      <c r="S450">
        <v>0</v>
      </c>
      <c r="T450">
        <f t="shared" si="68"/>
        <v>22</v>
      </c>
      <c r="U450" t="s">
        <v>19</v>
      </c>
    </row>
    <row r="451" spans="1:21">
      <c r="A451">
        <v>12</v>
      </c>
      <c r="B451" t="s">
        <v>28</v>
      </c>
      <c r="C451" s="1">
        <v>45875</v>
      </c>
      <c r="I451">
        <f t="shared" si="67"/>
        <v>0</v>
      </c>
      <c r="J451" t="s">
        <v>25</v>
      </c>
      <c r="L451">
        <v>12</v>
      </c>
      <c r="M451" t="s">
        <v>28</v>
      </c>
      <c r="N451" s="1">
        <v>45876</v>
      </c>
      <c r="T451">
        <f t="shared" si="68"/>
        <v>0</v>
      </c>
      <c r="U451" t="s">
        <v>25</v>
      </c>
    </row>
    <row r="452" spans="1:21">
      <c r="A452">
        <v>13</v>
      </c>
      <c r="B452" t="s">
        <v>29</v>
      </c>
      <c r="C452" s="1">
        <v>45875</v>
      </c>
      <c r="I452">
        <f t="shared" si="67"/>
        <v>0</v>
      </c>
      <c r="J452" t="s">
        <v>30</v>
      </c>
      <c r="L452">
        <v>13</v>
      </c>
      <c r="M452" t="s">
        <v>29</v>
      </c>
      <c r="N452" s="1">
        <v>45876</v>
      </c>
      <c r="O452">
        <v>103</v>
      </c>
      <c r="P452">
        <v>97</v>
      </c>
      <c r="Q452">
        <v>9</v>
      </c>
      <c r="R452">
        <v>7</v>
      </c>
      <c r="S452">
        <v>16</v>
      </c>
      <c r="T452">
        <f t="shared" si="68"/>
        <v>216</v>
      </c>
      <c r="U452" t="s">
        <v>30</v>
      </c>
    </row>
    <row r="453" spans="1:21">
      <c r="A453">
        <v>14</v>
      </c>
      <c r="B453" t="s">
        <v>31</v>
      </c>
      <c r="C453" s="1">
        <v>45875</v>
      </c>
      <c r="I453">
        <f t="shared" si="67"/>
        <v>0</v>
      </c>
      <c r="J453" t="s">
        <v>12</v>
      </c>
      <c r="L453">
        <v>14</v>
      </c>
      <c r="M453" t="s">
        <v>31</v>
      </c>
      <c r="N453" s="1">
        <v>45876</v>
      </c>
      <c r="O453">
        <v>42</v>
      </c>
      <c r="P453">
        <v>103</v>
      </c>
      <c r="Q453">
        <v>2</v>
      </c>
      <c r="R453">
        <v>10</v>
      </c>
      <c r="S453">
        <v>12</v>
      </c>
      <c r="T453">
        <f t="shared" si="68"/>
        <v>157</v>
      </c>
      <c r="U453" t="s">
        <v>12</v>
      </c>
    </row>
    <row r="454" spans="1:21">
      <c r="A454">
        <v>15</v>
      </c>
      <c r="B454" t="s">
        <v>32</v>
      </c>
      <c r="C454" s="1">
        <v>45875</v>
      </c>
      <c r="I454">
        <f t="shared" si="67"/>
        <v>0</v>
      </c>
      <c r="J454" t="s">
        <v>33</v>
      </c>
      <c r="L454">
        <v>15</v>
      </c>
      <c r="M454" t="s">
        <v>32</v>
      </c>
      <c r="N454" s="1">
        <v>45876</v>
      </c>
      <c r="T454">
        <f t="shared" si="68"/>
        <v>0</v>
      </c>
      <c r="U454" t="s">
        <v>33</v>
      </c>
    </row>
    <row r="455" spans="1:21">
      <c r="A455">
        <v>16</v>
      </c>
      <c r="B455" t="s">
        <v>34</v>
      </c>
      <c r="C455" s="1">
        <v>45875</v>
      </c>
      <c r="D455">
        <v>23</v>
      </c>
      <c r="E455">
        <v>25</v>
      </c>
      <c r="F455">
        <v>1</v>
      </c>
      <c r="G455">
        <v>3</v>
      </c>
      <c r="H455">
        <v>4</v>
      </c>
      <c r="I455">
        <f t="shared" si="67"/>
        <v>52</v>
      </c>
      <c r="J455" t="s">
        <v>21</v>
      </c>
      <c r="L455">
        <v>16</v>
      </c>
      <c r="M455" t="s">
        <v>34</v>
      </c>
      <c r="N455" s="1">
        <v>45876</v>
      </c>
      <c r="O455">
        <v>17</v>
      </c>
      <c r="P455">
        <v>6</v>
      </c>
      <c r="Q455">
        <v>2</v>
      </c>
      <c r="R455">
        <v>2</v>
      </c>
      <c r="S455">
        <v>4</v>
      </c>
      <c r="T455">
        <f t="shared" si="68"/>
        <v>27</v>
      </c>
      <c r="U455" t="s">
        <v>21</v>
      </c>
    </row>
    <row r="456" spans="1:21">
      <c r="A456">
        <v>17</v>
      </c>
      <c r="B456" t="s">
        <v>35</v>
      </c>
      <c r="C456" s="1">
        <v>45875</v>
      </c>
      <c r="I456">
        <f t="shared" si="67"/>
        <v>0</v>
      </c>
      <c r="J456" t="s">
        <v>33</v>
      </c>
      <c r="L456">
        <v>17</v>
      </c>
      <c r="M456" t="s">
        <v>35</v>
      </c>
      <c r="N456" s="1">
        <v>45876</v>
      </c>
      <c r="T456">
        <f t="shared" si="68"/>
        <v>0</v>
      </c>
      <c r="U456" t="s">
        <v>33</v>
      </c>
    </row>
    <row r="457" spans="1:21">
      <c r="A457">
        <v>18</v>
      </c>
      <c r="B457" t="s">
        <v>36</v>
      </c>
      <c r="C457" s="1">
        <v>45875</v>
      </c>
      <c r="D457">
        <v>271</v>
      </c>
      <c r="E457">
        <v>289</v>
      </c>
      <c r="H457">
        <v>0</v>
      </c>
      <c r="I457">
        <f t="shared" si="67"/>
        <v>560</v>
      </c>
      <c r="J457" t="s">
        <v>33</v>
      </c>
      <c r="L457">
        <v>18</v>
      </c>
      <c r="M457" t="s">
        <v>36</v>
      </c>
      <c r="N457" s="1">
        <v>45876</v>
      </c>
      <c r="T457">
        <f t="shared" si="68"/>
        <v>0</v>
      </c>
      <c r="U457" t="s">
        <v>33</v>
      </c>
    </row>
    <row r="458" spans="1:21">
      <c r="A458">
        <v>19</v>
      </c>
      <c r="B458" t="s">
        <v>37</v>
      </c>
      <c r="C458" s="1">
        <v>45875</v>
      </c>
      <c r="I458">
        <f>D458+E458+H458</f>
        <v>0</v>
      </c>
      <c r="L458">
        <v>19</v>
      </c>
      <c r="M458" t="s">
        <v>37</v>
      </c>
      <c r="N458" s="1">
        <v>45876</v>
      </c>
      <c r="T458">
        <f>O458+P458+S458</f>
        <v>0</v>
      </c>
    </row>
    <row r="459" spans="1:21">
      <c r="A459">
        <v>20</v>
      </c>
      <c r="B459" t="s">
        <v>38</v>
      </c>
      <c r="C459" s="1">
        <v>45875</v>
      </c>
      <c r="I459">
        <f t="shared" ref="I459" si="69">D459+E459+H459</f>
        <v>0</v>
      </c>
      <c r="J459" t="s">
        <v>19</v>
      </c>
      <c r="L459">
        <v>20</v>
      </c>
      <c r="M459" t="s">
        <v>38</v>
      </c>
      <c r="N459" s="1">
        <v>45876</v>
      </c>
      <c r="T459">
        <f t="shared" ref="T459" si="70">O459+P459+S459</f>
        <v>0</v>
      </c>
      <c r="U459" t="s">
        <v>19</v>
      </c>
    </row>
    <row r="460" spans="1:21">
      <c r="B460" t="s">
        <v>9</v>
      </c>
      <c r="D460">
        <f>D440+D441+D442+D443+D444+D445+D447+D446+D448+D449+D450+D451+D452+D453+D455+D457</f>
        <v>983</v>
      </c>
      <c r="E460">
        <f>SUM(E440:E459)</f>
        <v>1230</v>
      </c>
      <c r="I460">
        <f>I440+I441+I442+I443+I444+I445+I446+I447+I448+I449+I450+I451+I452+I453+I454+I455+I456+I457+I458+I459</f>
        <v>2451</v>
      </c>
      <c r="M460" t="s">
        <v>9</v>
      </c>
      <c r="O460">
        <f>O440+O441+O442+O443+O444+O445+O447+O446+O448+O449+O450+O451+O452+O453+O455+O457</f>
        <v>851</v>
      </c>
      <c r="P460">
        <f>SUM(P440:P459)</f>
        <v>1091</v>
      </c>
      <c r="T460">
        <f>T440+T441+T442+T443+T444+T445+T446+T447+T448+T449+T450+T451+T452+T453+T454+T455+T456+T457+T458+T459</f>
        <v>2153</v>
      </c>
    </row>
    <row r="462" spans="1:21">
      <c r="A462" t="s">
        <v>1</v>
      </c>
      <c r="B462" t="s">
        <v>2</v>
      </c>
      <c r="C462" t="s">
        <v>3</v>
      </c>
      <c r="D462" t="s">
        <v>4</v>
      </c>
      <c r="E462" t="s">
        <v>5</v>
      </c>
      <c r="F462" t="s">
        <v>6</v>
      </c>
      <c r="G462" t="s">
        <v>7</v>
      </c>
      <c r="H462" t="s">
        <v>8</v>
      </c>
      <c r="I462" t="s">
        <v>9</v>
      </c>
      <c r="J462" t="s">
        <v>10</v>
      </c>
      <c r="L462" t="s">
        <v>1</v>
      </c>
      <c r="M462" t="s">
        <v>2</v>
      </c>
      <c r="N462" t="s">
        <v>3</v>
      </c>
      <c r="O462" t="s">
        <v>4</v>
      </c>
      <c r="P462" t="s">
        <v>5</v>
      </c>
      <c r="Q462" t="s">
        <v>6</v>
      </c>
      <c r="R462" t="s">
        <v>7</v>
      </c>
      <c r="S462" t="s">
        <v>8</v>
      </c>
      <c r="T462" t="s">
        <v>9</v>
      </c>
      <c r="U462" t="s">
        <v>10</v>
      </c>
    </row>
    <row r="463" spans="1:21">
      <c r="A463">
        <v>1</v>
      </c>
      <c r="B463" t="s">
        <v>11</v>
      </c>
      <c r="C463" s="1">
        <v>45877</v>
      </c>
      <c r="D463">
        <v>39</v>
      </c>
      <c r="E463">
        <v>29</v>
      </c>
      <c r="F463">
        <v>13</v>
      </c>
      <c r="G463">
        <v>14</v>
      </c>
      <c r="H463">
        <v>27</v>
      </c>
      <c r="I463">
        <f>D463+E463+H463</f>
        <v>95</v>
      </c>
      <c r="J463" t="s">
        <v>12</v>
      </c>
      <c r="L463">
        <v>1</v>
      </c>
      <c r="M463" t="s">
        <v>11</v>
      </c>
      <c r="N463" s="1">
        <v>45878</v>
      </c>
      <c r="O463">
        <v>20</v>
      </c>
      <c r="P463">
        <v>23</v>
      </c>
      <c r="Q463">
        <v>4</v>
      </c>
      <c r="R463">
        <v>12</v>
      </c>
      <c r="S463">
        <v>16</v>
      </c>
      <c r="T463">
        <f>O463+P463+S463</f>
        <v>59</v>
      </c>
      <c r="U463" t="s">
        <v>12</v>
      </c>
    </row>
    <row r="464" spans="1:21">
      <c r="A464">
        <v>2</v>
      </c>
      <c r="B464" t="s">
        <v>13</v>
      </c>
      <c r="C464" s="1">
        <v>45877</v>
      </c>
      <c r="D464">
        <v>11</v>
      </c>
      <c r="E464">
        <v>7</v>
      </c>
      <c r="F464">
        <v>0</v>
      </c>
      <c r="G464">
        <v>2</v>
      </c>
      <c r="H464">
        <v>2</v>
      </c>
      <c r="I464">
        <f>D464+E464+H464</f>
        <v>20</v>
      </c>
      <c r="J464" t="s">
        <v>14</v>
      </c>
      <c r="L464">
        <v>2</v>
      </c>
      <c r="M464" t="s">
        <v>13</v>
      </c>
      <c r="N464" s="1">
        <v>45878</v>
      </c>
      <c r="O464">
        <v>14</v>
      </c>
      <c r="P464">
        <v>10</v>
      </c>
      <c r="Q464">
        <v>0</v>
      </c>
      <c r="R464">
        <v>0</v>
      </c>
      <c r="S464">
        <v>0</v>
      </c>
      <c r="T464">
        <f>O464+P464+S464</f>
        <v>24</v>
      </c>
      <c r="U464" t="s">
        <v>14</v>
      </c>
    </row>
    <row r="465" spans="1:21">
      <c r="A465">
        <v>3</v>
      </c>
      <c r="B465" t="s">
        <v>15</v>
      </c>
      <c r="C465" s="1">
        <v>45877</v>
      </c>
      <c r="D465">
        <v>37</v>
      </c>
      <c r="E465">
        <v>31</v>
      </c>
      <c r="H465">
        <v>0</v>
      </c>
      <c r="I465">
        <f>SUM(D465,E465,H465)</f>
        <v>68</v>
      </c>
      <c r="J465" t="s">
        <v>16</v>
      </c>
      <c r="L465">
        <v>3</v>
      </c>
      <c r="M465" t="s">
        <v>15</v>
      </c>
      <c r="N465" s="1">
        <v>45878</v>
      </c>
      <c r="O465">
        <v>39</v>
      </c>
      <c r="P465">
        <v>38</v>
      </c>
      <c r="S465">
        <v>0</v>
      </c>
      <c r="T465">
        <f>SUM(O465,P465,S465)</f>
        <v>77</v>
      </c>
      <c r="U465" t="s">
        <v>16</v>
      </c>
    </row>
    <row r="466" spans="1:21">
      <c r="A466">
        <v>4</v>
      </c>
      <c r="B466" t="s">
        <v>17</v>
      </c>
      <c r="C466" s="1">
        <v>45877</v>
      </c>
      <c r="D466">
        <v>35</v>
      </c>
      <c r="E466">
        <v>14</v>
      </c>
      <c r="H466">
        <v>10</v>
      </c>
      <c r="I466">
        <v>368</v>
      </c>
      <c r="J466" t="s">
        <v>14</v>
      </c>
      <c r="L466">
        <v>4</v>
      </c>
      <c r="M466" t="s">
        <v>17</v>
      </c>
      <c r="N466" s="1">
        <v>45878</v>
      </c>
      <c r="O466">
        <v>26</v>
      </c>
      <c r="P466">
        <v>9</v>
      </c>
      <c r="Q466">
        <v>0</v>
      </c>
      <c r="R466">
        <v>0</v>
      </c>
      <c r="S466">
        <v>0</v>
      </c>
      <c r="T466">
        <v>368</v>
      </c>
      <c r="U466" t="s">
        <v>14</v>
      </c>
    </row>
    <row r="467" spans="1:21">
      <c r="A467">
        <v>5</v>
      </c>
      <c r="B467" t="s">
        <v>18</v>
      </c>
      <c r="C467" s="1">
        <v>45877</v>
      </c>
      <c r="I467">
        <f t="shared" ref="I467:I480" si="71">D467+E467+H467</f>
        <v>0</v>
      </c>
      <c r="J467" t="s">
        <v>19</v>
      </c>
      <c r="L467">
        <v>5</v>
      </c>
      <c r="M467" t="s">
        <v>18</v>
      </c>
      <c r="N467" s="1">
        <v>45878</v>
      </c>
      <c r="O467">
        <v>521</v>
      </c>
      <c r="P467">
        <v>382</v>
      </c>
      <c r="S467">
        <v>208</v>
      </c>
      <c r="T467">
        <f t="shared" ref="T467:T480" si="72">O467+P467+S467</f>
        <v>1111</v>
      </c>
      <c r="U467" t="s">
        <v>19</v>
      </c>
    </row>
    <row r="468" spans="1:21">
      <c r="A468">
        <v>6</v>
      </c>
      <c r="B468" t="s">
        <v>20</v>
      </c>
      <c r="C468" s="1">
        <v>45877</v>
      </c>
      <c r="D468">
        <v>109</v>
      </c>
      <c r="E468">
        <v>73</v>
      </c>
      <c r="H468">
        <v>56</v>
      </c>
      <c r="I468">
        <f t="shared" si="71"/>
        <v>238</v>
      </c>
      <c r="J468" t="s">
        <v>21</v>
      </c>
      <c r="L468">
        <v>6</v>
      </c>
      <c r="M468" t="s">
        <v>20</v>
      </c>
      <c r="N468" s="1">
        <v>45878</v>
      </c>
      <c r="O468">
        <v>88</v>
      </c>
      <c r="P468">
        <v>72</v>
      </c>
      <c r="S468">
        <v>64</v>
      </c>
      <c r="T468">
        <f t="shared" si="72"/>
        <v>224</v>
      </c>
      <c r="U468" t="s">
        <v>21</v>
      </c>
    </row>
    <row r="469" spans="1:21">
      <c r="A469">
        <v>7</v>
      </c>
      <c r="B469" t="s">
        <v>22</v>
      </c>
      <c r="C469" s="1">
        <v>45877</v>
      </c>
      <c r="I469">
        <f t="shared" si="71"/>
        <v>0</v>
      </c>
      <c r="J469" t="s">
        <v>14</v>
      </c>
      <c r="L469">
        <v>7</v>
      </c>
      <c r="M469" t="s">
        <v>22</v>
      </c>
      <c r="N469" s="1">
        <v>45878</v>
      </c>
      <c r="T469">
        <f t="shared" si="72"/>
        <v>0</v>
      </c>
      <c r="U469" t="s">
        <v>14</v>
      </c>
    </row>
    <row r="470" spans="1:21">
      <c r="A470">
        <v>8</v>
      </c>
      <c r="B470" t="s">
        <v>23</v>
      </c>
      <c r="C470" s="1">
        <v>45877</v>
      </c>
      <c r="I470">
        <f t="shared" si="71"/>
        <v>0</v>
      </c>
      <c r="J470" t="s">
        <v>12</v>
      </c>
      <c r="L470">
        <v>8</v>
      </c>
      <c r="M470" t="s">
        <v>23</v>
      </c>
      <c r="N470" s="1">
        <v>45878</v>
      </c>
      <c r="T470">
        <f t="shared" si="72"/>
        <v>0</v>
      </c>
      <c r="U470" t="s">
        <v>12</v>
      </c>
    </row>
    <row r="471" spans="1:21">
      <c r="A471">
        <v>9</v>
      </c>
      <c r="B471" t="s">
        <v>24</v>
      </c>
      <c r="C471" s="1">
        <v>45877</v>
      </c>
      <c r="D471">
        <v>69</v>
      </c>
      <c r="E471">
        <v>14</v>
      </c>
      <c r="H471">
        <v>7</v>
      </c>
      <c r="I471">
        <f t="shared" si="71"/>
        <v>90</v>
      </c>
      <c r="J471" t="s">
        <v>25</v>
      </c>
      <c r="L471">
        <v>9</v>
      </c>
      <c r="M471" t="s">
        <v>24</v>
      </c>
      <c r="N471" s="1">
        <v>45878</v>
      </c>
      <c r="O471">
        <v>36</v>
      </c>
      <c r="P471">
        <v>9</v>
      </c>
      <c r="S471">
        <v>17</v>
      </c>
      <c r="T471">
        <f t="shared" si="72"/>
        <v>62</v>
      </c>
      <c r="U471" t="s">
        <v>25</v>
      </c>
    </row>
    <row r="472" spans="1:21">
      <c r="A472">
        <v>10</v>
      </c>
      <c r="B472" t="s">
        <v>26</v>
      </c>
      <c r="C472" s="1">
        <v>45877</v>
      </c>
      <c r="D472">
        <v>159</v>
      </c>
      <c r="E472">
        <v>98</v>
      </c>
      <c r="H472">
        <v>30</v>
      </c>
      <c r="I472">
        <f t="shared" si="71"/>
        <v>287</v>
      </c>
      <c r="J472" t="s">
        <v>16</v>
      </c>
      <c r="L472">
        <v>10</v>
      </c>
      <c r="M472" t="s">
        <v>26</v>
      </c>
      <c r="N472" s="1">
        <v>45878</v>
      </c>
      <c r="O472">
        <v>156</v>
      </c>
      <c r="P472">
        <v>98</v>
      </c>
      <c r="S472">
        <v>55</v>
      </c>
      <c r="T472">
        <f t="shared" si="72"/>
        <v>309</v>
      </c>
      <c r="U472" t="s">
        <v>16</v>
      </c>
    </row>
    <row r="473" spans="1:21">
      <c r="A473">
        <v>11</v>
      </c>
      <c r="B473" t="s">
        <v>27</v>
      </c>
      <c r="C473" s="1">
        <v>45877</v>
      </c>
      <c r="D473">
        <v>14</v>
      </c>
      <c r="E473">
        <v>4</v>
      </c>
      <c r="H473">
        <v>4</v>
      </c>
      <c r="I473">
        <f t="shared" si="71"/>
        <v>22</v>
      </c>
      <c r="J473" t="s">
        <v>19</v>
      </c>
      <c r="L473">
        <v>11</v>
      </c>
      <c r="M473" t="s">
        <v>27</v>
      </c>
      <c r="N473" s="1">
        <v>45878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f t="shared" si="72"/>
        <v>0</v>
      </c>
      <c r="U473" t="s">
        <v>19</v>
      </c>
    </row>
    <row r="474" spans="1:21">
      <c r="A474">
        <v>12</v>
      </c>
      <c r="B474" t="s">
        <v>28</v>
      </c>
      <c r="C474" s="1">
        <v>45877</v>
      </c>
      <c r="D474">
        <v>209</v>
      </c>
      <c r="E474">
        <v>222</v>
      </c>
      <c r="F474">
        <v>29</v>
      </c>
      <c r="G474">
        <v>22</v>
      </c>
      <c r="H474">
        <v>51</v>
      </c>
      <c r="I474">
        <f t="shared" si="71"/>
        <v>482</v>
      </c>
      <c r="J474" t="s">
        <v>25</v>
      </c>
      <c r="L474">
        <v>12</v>
      </c>
      <c r="M474" t="s">
        <v>28</v>
      </c>
      <c r="N474" s="1">
        <v>45878</v>
      </c>
      <c r="T474">
        <f t="shared" si="72"/>
        <v>0</v>
      </c>
      <c r="U474" t="s">
        <v>25</v>
      </c>
    </row>
    <row r="475" spans="1:21">
      <c r="A475">
        <v>13</v>
      </c>
      <c r="B475" t="s">
        <v>29</v>
      </c>
      <c r="C475" s="1">
        <v>45877</v>
      </c>
      <c r="I475">
        <f t="shared" si="71"/>
        <v>0</v>
      </c>
      <c r="J475" t="s">
        <v>30</v>
      </c>
      <c r="L475">
        <v>13</v>
      </c>
      <c r="M475" t="s">
        <v>29</v>
      </c>
      <c r="N475" s="1">
        <v>45878</v>
      </c>
      <c r="O475">
        <v>110</v>
      </c>
      <c r="P475">
        <v>102</v>
      </c>
      <c r="Q475">
        <v>11</v>
      </c>
      <c r="R475">
        <v>8</v>
      </c>
      <c r="S475">
        <v>19</v>
      </c>
      <c r="T475">
        <f t="shared" si="72"/>
        <v>231</v>
      </c>
      <c r="U475" t="s">
        <v>30</v>
      </c>
    </row>
    <row r="476" spans="1:21">
      <c r="A476">
        <v>14</v>
      </c>
      <c r="B476" t="s">
        <v>31</v>
      </c>
      <c r="C476" s="1">
        <v>45877</v>
      </c>
      <c r="D476">
        <v>44</v>
      </c>
      <c r="E476">
        <v>24</v>
      </c>
      <c r="F476">
        <v>1</v>
      </c>
      <c r="G476">
        <v>0</v>
      </c>
      <c r="H476">
        <v>1</v>
      </c>
      <c r="I476">
        <f t="shared" si="71"/>
        <v>69</v>
      </c>
      <c r="J476" t="s">
        <v>12</v>
      </c>
      <c r="L476">
        <v>14</v>
      </c>
      <c r="M476" t="s">
        <v>31</v>
      </c>
      <c r="N476" s="1">
        <v>45878</v>
      </c>
      <c r="O476">
        <v>20</v>
      </c>
      <c r="P476">
        <v>28</v>
      </c>
      <c r="Q476">
        <v>7</v>
      </c>
      <c r="R476">
        <v>7</v>
      </c>
      <c r="S476">
        <v>14</v>
      </c>
      <c r="T476">
        <f t="shared" si="72"/>
        <v>62</v>
      </c>
      <c r="U476" t="s">
        <v>12</v>
      </c>
    </row>
    <row r="477" spans="1:21">
      <c r="A477">
        <v>15</v>
      </c>
      <c r="B477" t="s">
        <v>32</v>
      </c>
      <c r="C477" s="1">
        <v>45877</v>
      </c>
      <c r="I477">
        <f t="shared" si="71"/>
        <v>0</v>
      </c>
      <c r="J477" t="s">
        <v>33</v>
      </c>
      <c r="L477">
        <v>15</v>
      </c>
      <c r="M477" t="s">
        <v>32</v>
      </c>
      <c r="N477" s="1">
        <v>45878</v>
      </c>
      <c r="T477">
        <f t="shared" si="72"/>
        <v>0</v>
      </c>
      <c r="U477" t="s">
        <v>33</v>
      </c>
    </row>
    <row r="478" spans="1:21">
      <c r="A478">
        <v>16</v>
      </c>
      <c r="B478" t="s">
        <v>34</v>
      </c>
      <c r="C478" s="1">
        <v>45877</v>
      </c>
      <c r="I478">
        <f t="shared" si="71"/>
        <v>0</v>
      </c>
      <c r="J478" t="s">
        <v>21</v>
      </c>
      <c r="L478">
        <v>16</v>
      </c>
      <c r="M478" t="s">
        <v>34</v>
      </c>
      <c r="N478" s="1">
        <v>45878</v>
      </c>
      <c r="O478">
        <v>21</v>
      </c>
      <c r="P478">
        <v>12</v>
      </c>
      <c r="Q478">
        <v>1</v>
      </c>
      <c r="R478">
        <v>1</v>
      </c>
      <c r="S478">
        <v>2</v>
      </c>
      <c r="T478">
        <f t="shared" si="72"/>
        <v>35</v>
      </c>
      <c r="U478" t="s">
        <v>21</v>
      </c>
    </row>
    <row r="479" spans="1:21">
      <c r="A479">
        <v>17</v>
      </c>
      <c r="B479" t="s">
        <v>35</v>
      </c>
      <c r="C479" s="1">
        <v>45877</v>
      </c>
      <c r="I479">
        <f t="shared" si="71"/>
        <v>0</v>
      </c>
      <c r="J479" t="s">
        <v>33</v>
      </c>
      <c r="L479">
        <v>17</v>
      </c>
      <c r="M479" t="s">
        <v>35</v>
      </c>
      <c r="N479" s="1">
        <v>45878</v>
      </c>
      <c r="T479">
        <f t="shared" si="72"/>
        <v>0</v>
      </c>
      <c r="U479" t="s">
        <v>33</v>
      </c>
    </row>
    <row r="480" spans="1:21">
      <c r="A480">
        <v>18</v>
      </c>
      <c r="B480" t="s">
        <v>36</v>
      </c>
      <c r="C480" s="1">
        <v>45877</v>
      </c>
      <c r="D480">
        <v>581</v>
      </c>
      <c r="E480">
        <v>575</v>
      </c>
      <c r="H480">
        <v>0</v>
      </c>
      <c r="I480">
        <f t="shared" si="71"/>
        <v>1156</v>
      </c>
      <c r="J480" t="s">
        <v>33</v>
      </c>
      <c r="L480">
        <v>18</v>
      </c>
      <c r="M480" t="s">
        <v>36</v>
      </c>
      <c r="N480" s="1">
        <v>45878</v>
      </c>
      <c r="O480">
        <v>223</v>
      </c>
      <c r="P480">
        <v>239</v>
      </c>
      <c r="S480">
        <v>0</v>
      </c>
      <c r="T480">
        <f t="shared" si="72"/>
        <v>462</v>
      </c>
      <c r="U480" t="s">
        <v>33</v>
      </c>
    </row>
    <row r="481" spans="1:21">
      <c r="A481">
        <v>19</v>
      </c>
      <c r="B481" t="s">
        <v>37</v>
      </c>
      <c r="C481" s="1">
        <v>45877</v>
      </c>
      <c r="I481">
        <f>D481+E481+H481</f>
        <v>0</v>
      </c>
      <c r="L481">
        <v>19</v>
      </c>
      <c r="M481" t="s">
        <v>37</v>
      </c>
      <c r="N481" s="1">
        <v>45878</v>
      </c>
      <c r="T481">
        <f>O481+P481+S481</f>
        <v>0</v>
      </c>
    </row>
    <row r="482" spans="1:21">
      <c r="A482">
        <v>20</v>
      </c>
      <c r="B482" t="s">
        <v>38</v>
      </c>
      <c r="C482" s="1">
        <v>45877</v>
      </c>
      <c r="I482">
        <f t="shared" ref="I482" si="73">D482+E482+H482</f>
        <v>0</v>
      </c>
      <c r="J482" t="s">
        <v>19</v>
      </c>
      <c r="L482">
        <v>20</v>
      </c>
      <c r="M482" t="s">
        <v>38</v>
      </c>
      <c r="N482" s="1">
        <v>45878</v>
      </c>
      <c r="T482">
        <f t="shared" ref="T482" si="74">O482+P482+S482</f>
        <v>0</v>
      </c>
      <c r="U482" t="s">
        <v>19</v>
      </c>
    </row>
    <row r="483" spans="1:21">
      <c r="B483" t="s">
        <v>9</v>
      </c>
      <c r="D483">
        <f>D463+D464+D465+D466+D467+D468+D470+D469+D471+D472+D473+D474+D475+D476+D478+D480</f>
        <v>1307</v>
      </c>
      <c r="E483">
        <f>SUM(E463:E482)</f>
        <v>1091</v>
      </c>
      <c r="I483">
        <f>I463+I464+I465+I466+I467+I468+I469+I470+I471+I472+I473+I474+I475+I476+I477+I478+I479+I480+I481+I482</f>
        <v>2895</v>
      </c>
      <c r="M483" t="s">
        <v>9</v>
      </c>
      <c r="O483">
        <f>O463+O464+O465+O466+O467+O468+O470+O469+O471+O472+O473+O474+O475+O476+O478+O480</f>
        <v>1274</v>
      </c>
      <c r="P483">
        <f>SUM(P463:P482)</f>
        <v>1022</v>
      </c>
      <c r="T483">
        <f>T463+T464+T465+T466+T467+T468+T469+T470+T471+T472+T473+T474+T475+T476+T477+T478+T479+T480+T481+T482</f>
        <v>3024</v>
      </c>
    </row>
    <row r="486" spans="1:21">
      <c r="A486" t="s">
        <v>1</v>
      </c>
      <c r="B486" t="s">
        <v>2</v>
      </c>
      <c r="C486" t="s">
        <v>3</v>
      </c>
      <c r="D486" t="s">
        <v>4</v>
      </c>
      <c r="E486" t="s">
        <v>5</v>
      </c>
      <c r="F486" t="s">
        <v>6</v>
      </c>
      <c r="G486" t="s">
        <v>7</v>
      </c>
      <c r="H486" t="s">
        <v>8</v>
      </c>
      <c r="I486" t="s">
        <v>9</v>
      </c>
      <c r="J486" t="s">
        <v>10</v>
      </c>
      <c r="L486" t="s">
        <v>1</v>
      </c>
      <c r="M486" t="s">
        <v>2</v>
      </c>
      <c r="N486" t="s">
        <v>3</v>
      </c>
      <c r="O486" t="s">
        <v>4</v>
      </c>
      <c r="P486" t="s">
        <v>5</v>
      </c>
      <c r="Q486" t="s">
        <v>6</v>
      </c>
      <c r="R486" t="s">
        <v>7</v>
      </c>
      <c r="S486" t="s">
        <v>8</v>
      </c>
      <c r="T486" t="s">
        <v>9</v>
      </c>
      <c r="U486" t="s">
        <v>10</v>
      </c>
    </row>
    <row r="487" spans="1:21">
      <c r="A487">
        <v>1</v>
      </c>
      <c r="B487" t="s">
        <v>11</v>
      </c>
      <c r="C487" s="1">
        <v>45879</v>
      </c>
      <c r="D487">
        <v>29</v>
      </c>
      <c r="E487">
        <v>29</v>
      </c>
      <c r="F487">
        <v>15</v>
      </c>
      <c r="G487">
        <v>21</v>
      </c>
      <c r="H487">
        <v>36</v>
      </c>
      <c r="I487">
        <f>D487+E487+H487</f>
        <v>94</v>
      </c>
      <c r="J487" t="s">
        <v>12</v>
      </c>
      <c r="L487">
        <v>1</v>
      </c>
      <c r="M487" t="s">
        <v>11</v>
      </c>
      <c r="N487" s="1">
        <v>45880</v>
      </c>
      <c r="O487">
        <v>26</v>
      </c>
      <c r="P487">
        <v>32</v>
      </c>
      <c r="Q487">
        <v>7</v>
      </c>
      <c r="R487">
        <v>5</v>
      </c>
      <c r="S487">
        <v>12</v>
      </c>
      <c r="T487">
        <f>O487+P487+S487</f>
        <v>70</v>
      </c>
      <c r="U487" t="s">
        <v>12</v>
      </c>
    </row>
    <row r="488" spans="1:21">
      <c r="A488">
        <v>2</v>
      </c>
      <c r="B488" t="s">
        <v>13</v>
      </c>
      <c r="C488" s="1">
        <v>45879</v>
      </c>
      <c r="D488">
        <v>11</v>
      </c>
      <c r="E488">
        <v>3</v>
      </c>
      <c r="F488">
        <v>0</v>
      </c>
      <c r="G488">
        <v>0</v>
      </c>
      <c r="H488">
        <v>0</v>
      </c>
      <c r="I488">
        <f>D488+E488+H488</f>
        <v>14</v>
      </c>
      <c r="J488" t="s">
        <v>14</v>
      </c>
      <c r="L488">
        <v>2</v>
      </c>
      <c r="M488" t="s">
        <v>13</v>
      </c>
      <c r="N488" s="1">
        <v>45880</v>
      </c>
      <c r="O488">
        <v>13</v>
      </c>
      <c r="P488">
        <v>3</v>
      </c>
      <c r="Q488">
        <v>1</v>
      </c>
      <c r="R488">
        <v>0</v>
      </c>
      <c r="S488">
        <v>1</v>
      </c>
      <c r="T488">
        <f>O488+P488+S488</f>
        <v>17</v>
      </c>
      <c r="U488" t="s">
        <v>14</v>
      </c>
    </row>
    <row r="489" spans="1:21">
      <c r="A489">
        <v>3</v>
      </c>
      <c r="B489" t="s">
        <v>15</v>
      </c>
      <c r="C489" s="1">
        <v>45879</v>
      </c>
      <c r="D489">
        <v>18</v>
      </c>
      <c r="E489">
        <v>22</v>
      </c>
      <c r="H489">
        <v>0</v>
      </c>
      <c r="I489">
        <f>SUM(D489,E489,H489)</f>
        <v>40</v>
      </c>
      <c r="J489" t="s">
        <v>16</v>
      </c>
      <c r="L489">
        <v>3</v>
      </c>
      <c r="M489" t="s">
        <v>15</v>
      </c>
      <c r="N489" s="1">
        <v>45880</v>
      </c>
      <c r="O489">
        <v>18</v>
      </c>
      <c r="P489">
        <v>27</v>
      </c>
      <c r="S489">
        <v>0</v>
      </c>
      <c r="T489">
        <f>SUM(O489,P489,S489)</f>
        <v>45</v>
      </c>
      <c r="U489" t="s">
        <v>16</v>
      </c>
    </row>
    <row r="490" spans="1:21">
      <c r="A490">
        <v>4</v>
      </c>
      <c r="B490" t="s">
        <v>17</v>
      </c>
      <c r="C490" s="1">
        <v>45879</v>
      </c>
      <c r="D490">
        <v>9</v>
      </c>
      <c r="E490">
        <v>5</v>
      </c>
      <c r="F490">
        <v>0</v>
      </c>
      <c r="G490">
        <v>0</v>
      </c>
      <c r="H490">
        <v>0</v>
      </c>
      <c r="I490">
        <v>368</v>
      </c>
      <c r="J490" t="s">
        <v>14</v>
      </c>
      <c r="L490">
        <v>4</v>
      </c>
      <c r="M490" t="s">
        <v>17</v>
      </c>
      <c r="N490" s="1">
        <v>45880</v>
      </c>
      <c r="O490">
        <v>21</v>
      </c>
      <c r="P490">
        <v>7</v>
      </c>
      <c r="S490">
        <v>1</v>
      </c>
      <c r="T490">
        <f>O490+P490+S490</f>
        <v>29</v>
      </c>
      <c r="U490" t="s">
        <v>14</v>
      </c>
    </row>
    <row r="491" spans="1:21">
      <c r="A491">
        <v>5</v>
      </c>
      <c r="B491" t="s">
        <v>18</v>
      </c>
      <c r="C491" s="1">
        <v>45879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ref="I491:I504" si="75">D491+E491+H491</f>
        <v>0</v>
      </c>
      <c r="J491" t="s">
        <v>19</v>
      </c>
      <c r="L491">
        <v>5</v>
      </c>
      <c r="M491" t="s">
        <v>18</v>
      </c>
      <c r="N491" s="1">
        <v>45880</v>
      </c>
      <c r="O491">
        <v>511</v>
      </c>
      <c r="P491">
        <v>1020</v>
      </c>
      <c r="S491">
        <v>238</v>
      </c>
      <c r="T491">
        <f t="shared" ref="T491:T504" si="76">O491+P491+S491</f>
        <v>1769</v>
      </c>
      <c r="U491" t="s">
        <v>19</v>
      </c>
    </row>
    <row r="492" spans="1:21">
      <c r="A492">
        <v>6</v>
      </c>
      <c r="B492" t="s">
        <v>20</v>
      </c>
      <c r="C492" s="1">
        <v>45879</v>
      </c>
      <c r="D492">
        <v>89</v>
      </c>
      <c r="E492">
        <v>49</v>
      </c>
      <c r="H492">
        <v>13</v>
      </c>
      <c r="I492">
        <f t="shared" si="75"/>
        <v>151</v>
      </c>
      <c r="J492" t="s">
        <v>21</v>
      </c>
      <c r="L492">
        <v>6</v>
      </c>
      <c r="M492" t="s">
        <v>20</v>
      </c>
      <c r="N492" s="1">
        <v>45880</v>
      </c>
      <c r="O492">
        <v>125</v>
      </c>
      <c r="P492">
        <v>61</v>
      </c>
      <c r="S492">
        <v>0</v>
      </c>
      <c r="T492">
        <f t="shared" si="76"/>
        <v>186</v>
      </c>
      <c r="U492" t="s">
        <v>21</v>
      </c>
    </row>
    <row r="493" spans="1:21">
      <c r="A493">
        <v>7</v>
      </c>
      <c r="B493" t="s">
        <v>22</v>
      </c>
      <c r="C493" s="1">
        <v>45879</v>
      </c>
      <c r="I493">
        <f t="shared" si="75"/>
        <v>0</v>
      </c>
      <c r="J493" t="s">
        <v>14</v>
      </c>
      <c r="L493">
        <v>7</v>
      </c>
      <c r="M493" t="s">
        <v>22</v>
      </c>
      <c r="N493" s="1">
        <v>45880</v>
      </c>
      <c r="T493">
        <f t="shared" si="76"/>
        <v>0</v>
      </c>
      <c r="U493" t="s">
        <v>14</v>
      </c>
    </row>
    <row r="494" spans="1:21">
      <c r="A494">
        <v>8</v>
      </c>
      <c r="B494" t="s">
        <v>23</v>
      </c>
      <c r="C494" s="1">
        <v>45879</v>
      </c>
      <c r="I494">
        <f t="shared" si="75"/>
        <v>0</v>
      </c>
      <c r="J494" t="s">
        <v>12</v>
      </c>
      <c r="L494">
        <v>8</v>
      </c>
      <c r="M494" t="s">
        <v>23</v>
      </c>
      <c r="N494" s="1">
        <v>45880</v>
      </c>
      <c r="T494">
        <f t="shared" si="76"/>
        <v>0</v>
      </c>
      <c r="U494" t="s">
        <v>12</v>
      </c>
    </row>
    <row r="495" spans="1:21">
      <c r="A495">
        <v>9</v>
      </c>
      <c r="B495" t="s">
        <v>24</v>
      </c>
      <c r="C495" s="1">
        <v>45879</v>
      </c>
      <c r="D495">
        <v>27</v>
      </c>
      <c r="E495">
        <v>15</v>
      </c>
      <c r="H495">
        <v>7</v>
      </c>
      <c r="I495">
        <f t="shared" si="75"/>
        <v>49</v>
      </c>
      <c r="J495" t="s">
        <v>25</v>
      </c>
      <c r="L495">
        <v>9</v>
      </c>
      <c r="M495" t="s">
        <v>24</v>
      </c>
      <c r="N495" s="1">
        <v>45880</v>
      </c>
      <c r="O495">
        <v>38</v>
      </c>
      <c r="P495">
        <v>17</v>
      </c>
      <c r="S495">
        <v>8</v>
      </c>
      <c r="T495">
        <f t="shared" si="76"/>
        <v>63</v>
      </c>
      <c r="U495" t="s">
        <v>25</v>
      </c>
    </row>
    <row r="496" spans="1:21">
      <c r="A496">
        <v>10</v>
      </c>
      <c r="B496" t="s">
        <v>26</v>
      </c>
      <c r="C496" s="1">
        <v>45879</v>
      </c>
      <c r="D496">
        <v>84</v>
      </c>
      <c r="E496">
        <v>52</v>
      </c>
      <c r="H496">
        <v>32</v>
      </c>
      <c r="I496">
        <f t="shared" si="75"/>
        <v>168</v>
      </c>
      <c r="J496" t="s">
        <v>16</v>
      </c>
      <c r="L496">
        <v>10</v>
      </c>
      <c r="M496" t="s">
        <v>26</v>
      </c>
      <c r="N496" s="1">
        <v>45880</v>
      </c>
      <c r="T496">
        <f t="shared" si="76"/>
        <v>0</v>
      </c>
      <c r="U496" t="s">
        <v>16</v>
      </c>
    </row>
    <row r="497" spans="1:21">
      <c r="A497">
        <v>11</v>
      </c>
      <c r="B497" t="s">
        <v>27</v>
      </c>
      <c r="C497" s="1">
        <v>45879</v>
      </c>
      <c r="D497">
        <v>5</v>
      </c>
      <c r="E497">
        <v>1</v>
      </c>
      <c r="F497">
        <v>2</v>
      </c>
      <c r="H497">
        <v>2</v>
      </c>
      <c r="I497">
        <f t="shared" si="75"/>
        <v>8</v>
      </c>
      <c r="J497" t="s">
        <v>19</v>
      </c>
      <c r="L497">
        <v>11</v>
      </c>
      <c r="M497" t="s">
        <v>27</v>
      </c>
      <c r="N497" s="1">
        <v>45880</v>
      </c>
      <c r="O497">
        <v>8</v>
      </c>
      <c r="P497">
        <v>4</v>
      </c>
      <c r="Q497">
        <v>0</v>
      </c>
      <c r="R497">
        <v>0</v>
      </c>
      <c r="S497">
        <v>0</v>
      </c>
      <c r="T497">
        <f t="shared" si="76"/>
        <v>12</v>
      </c>
      <c r="U497" t="s">
        <v>19</v>
      </c>
    </row>
    <row r="498" spans="1:21">
      <c r="A498">
        <v>12</v>
      </c>
      <c r="B498" t="s">
        <v>28</v>
      </c>
      <c r="C498" s="1">
        <v>45879</v>
      </c>
      <c r="I498">
        <f t="shared" si="75"/>
        <v>0</v>
      </c>
      <c r="J498" t="s">
        <v>25</v>
      </c>
      <c r="L498">
        <v>12</v>
      </c>
      <c r="M498" t="s">
        <v>28</v>
      </c>
      <c r="N498" s="1">
        <v>45880</v>
      </c>
      <c r="T498">
        <f t="shared" si="76"/>
        <v>0</v>
      </c>
      <c r="U498" t="s">
        <v>25</v>
      </c>
    </row>
    <row r="499" spans="1:21">
      <c r="A499">
        <v>13</v>
      </c>
      <c r="B499" t="s">
        <v>29</v>
      </c>
      <c r="C499" s="1">
        <v>45879</v>
      </c>
      <c r="I499">
        <f t="shared" si="75"/>
        <v>0</v>
      </c>
      <c r="J499" t="s">
        <v>30</v>
      </c>
      <c r="L499">
        <v>13</v>
      </c>
      <c r="M499" t="s">
        <v>29</v>
      </c>
      <c r="N499" s="1">
        <v>45880</v>
      </c>
      <c r="T499">
        <f t="shared" si="76"/>
        <v>0</v>
      </c>
      <c r="U499" t="s">
        <v>30</v>
      </c>
    </row>
    <row r="500" spans="1:21">
      <c r="A500">
        <v>14</v>
      </c>
      <c r="B500" t="s">
        <v>31</v>
      </c>
      <c r="C500" s="1">
        <v>45879</v>
      </c>
      <c r="D500">
        <v>25</v>
      </c>
      <c r="E500">
        <v>36</v>
      </c>
      <c r="F500">
        <v>6</v>
      </c>
      <c r="G500">
        <v>4</v>
      </c>
      <c r="H500">
        <v>10</v>
      </c>
      <c r="I500">
        <f t="shared" si="75"/>
        <v>71</v>
      </c>
      <c r="J500" t="s">
        <v>12</v>
      </c>
      <c r="L500">
        <v>14</v>
      </c>
      <c r="M500" t="s">
        <v>31</v>
      </c>
      <c r="N500" s="1">
        <v>45880</v>
      </c>
      <c r="O500">
        <v>40</v>
      </c>
      <c r="P500">
        <v>98</v>
      </c>
      <c r="Q500">
        <v>6</v>
      </c>
      <c r="R500">
        <v>7</v>
      </c>
      <c r="S500">
        <v>13</v>
      </c>
      <c r="T500">
        <f t="shared" si="76"/>
        <v>151</v>
      </c>
      <c r="U500" t="s">
        <v>12</v>
      </c>
    </row>
    <row r="501" spans="1:21">
      <c r="A501">
        <v>15</v>
      </c>
      <c r="B501" t="s">
        <v>32</v>
      </c>
      <c r="C501" s="1">
        <v>45879</v>
      </c>
      <c r="I501">
        <f t="shared" si="75"/>
        <v>0</v>
      </c>
      <c r="J501" t="s">
        <v>33</v>
      </c>
      <c r="L501">
        <v>15</v>
      </c>
      <c r="M501" t="s">
        <v>32</v>
      </c>
      <c r="N501" s="1">
        <v>45880</v>
      </c>
      <c r="T501">
        <f t="shared" si="76"/>
        <v>0</v>
      </c>
      <c r="U501" t="s">
        <v>33</v>
      </c>
    </row>
    <row r="502" spans="1:21">
      <c r="A502">
        <v>16</v>
      </c>
      <c r="B502" t="s">
        <v>34</v>
      </c>
      <c r="C502" s="1">
        <v>45879</v>
      </c>
      <c r="I502">
        <f t="shared" si="75"/>
        <v>0</v>
      </c>
      <c r="J502" t="s">
        <v>21</v>
      </c>
      <c r="L502">
        <v>16</v>
      </c>
      <c r="M502" t="s">
        <v>34</v>
      </c>
      <c r="N502" s="1">
        <v>45880</v>
      </c>
      <c r="O502">
        <v>15</v>
      </c>
      <c r="P502">
        <v>14</v>
      </c>
      <c r="Q502">
        <v>1</v>
      </c>
      <c r="R502">
        <v>3</v>
      </c>
      <c r="S502">
        <v>4</v>
      </c>
      <c r="T502">
        <f t="shared" si="76"/>
        <v>33</v>
      </c>
      <c r="U502" t="s">
        <v>21</v>
      </c>
    </row>
    <row r="503" spans="1:21">
      <c r="A503">
        <v>17</v>
      </c>
      <c r="B503" t="s">
        <v>35</v>
      </c>
      <c r="C503" s="1">
        <v>45879</v>
      </c>
      <c r="I503">
        <f t="shared" si="75"/>
        <v>0</v>
      </c>
      <c r="J503" t="s">
        <v>33</v>
      </c>
      <c r="L503">
        <v>17</v>
      </c>
      <c r="M503" t="s">
        <v>35</v>
      </c>
      <c r="N503" s="1">
        <v>45880</v>
      </c>
      <c r="T503">
        <f t="shared" si="76"/>
        <v>0</v>
      </c>
      <c r="U503" t="s">
        <v>33</v>
      </c>
    </row>
    <row r="504" spans="1:21">
      <c r="A504">
        <v>18</v>
      </c>
      <c r="B504" t="s">
        <v>36</v>
      </c>
      <c r="C504" s="1">
        <v>45879</v>
      </c>
      <c r="I504">
        <f t="shared" si="75"/>
        <v>0</v>
      </c>
      <c r="J504" t="s">
        <v>33</v>
      </c>
      <c r="L504">
        <v>18</v>
      </c>
      <c r="M504" t="s">
        <v>36</v>
      </c>
      <c r="N504" s="1">
        <v>45880</v>
      </c>
      <c r="O504">
        <v>567</v>
      </c>
      <c r="P504">
        <v>589</v>
      </c>
      <c r="S504">
        <v>0</v>
      </c>
      <c r="T504">
        <f t="shared" si="76"/>
        <v>1156</v>
      </c>
      <c r="U504" t="s">
        <v>33</v>
      </c>
    </row>
    <row r="505" spans="1:21">
      <c r="A505">
        <v>19</v>
      </c>
      <c r="B505" t="s">
        <v>37</v>
      </c>
      <c r="C505" s="1">
        <v>45879</v>
      </c>
      <c r="I505">
        <f>D505+E505+H505</f>
        <v>0</v>
      </c>
      <c r="L505">
        <v>19</v>
      </c>
      <c r="M505" t="s">
        <v>37</v>
      </c>
      <c r="N505" s="1">
        <v>45880</v>
      </c>
      <c r="T505">
        <f>O505+P505+S505</f>
        <v>0</v>
      </c>
    </row>
    <row r="506" spans="1:21">
      <c r="A506">
        <v>20</v>
      </c>
      <c r="B506" t="s">
        <v>38</v>
      </c>
      <c r="C506" s="1">
        <v>45879</v>
      </c>
      <c r="I506">
        <f t="shared" ref="I506" si="77">D506+E506+H506</f>
        <v>0</v>
      </c>
      <c r="J506" t="s">
        <v>19</v>
      </c>
      <c r="L506">
        <v>20</v>
      </c>
      <c r="M506" t="s">
        <v>38</v>
      </c>
      <c r="N506" s="1">
        <v>45880</v>
      </c>
      <c r="T506">
        <f t="shared" ref="T506" si="78">O506+P506+S506</f>
        <v>0</v>
      </c>
      <c r="U506" t="s">
        <v>19</v>
      </c>
    </row>
    <row r="507" spans="1:21">
      <c r="B507" t="s">
        <v>9</v>
      </c>
      <c r="D507">
        <f>D487+D488+D489+D490+D491+D492+D494+D493+D495+D496+D497+D498+D499+D500+D502+D504</f>
        <v>297</v>
      </c>
      <c r="E507">
        <f>SUM(E487:E506)</f>
        <v>212</v>
      </c>
      <c r="I507">
        <f>I487+I488+I489+I490+I491+I492+I493+I494+I495+I496+I497+I498+I499+I500+I501+I502+I503+I504+I505+I506</f>
        <v>963</v>
      </c>
      <c r="M507" t="s">
        <v>9</v>
      </c>
      <c r="O507">
        <f>O487+O488+O489+O490+O491+O492+O494+O493+O495+O496+O497+O498+O499+O500+O502+O504</f>
        <v>1382</v>
      </c>
      <c r="P507">
        <f>SUM(P487:P506)</f>
        <v>1872</v>
      </c>
      <c r="T507">
        <f>T487+T488+T489+T490+T491+T492+T493+T494+T495+T496+T497+T498+T499+T500+T501+T502+T503+T504+T505+T506</f>
        <v>3531</v>
      </c>
    </row>
    <row r="510" spans="1:21">
      <c r="A510" t="s">
        <v>1</v>
      </c>
      <c r="B510" t="s">
        <v>2</v>
      </c>
      <c r="C510" t="s">
        <v>3</v>
      </c>
      <c r="D510" t="s">
        <v>4</v>
      </c>
      <c r="E510" t="s">
        <v>5</v>
      </c>
      <c r="F510" t="s">
        <v>6</v>
      </c>
      <c r="G510" t="s">
        <v>7</v>
      </c>
      <c r="H510" t="s">
        <v>8</v>
      </c>
      <c r="I510" t="s">
        <v>9</v>
      </c>
      <c r="J510" t="s">
        <v>10</v>
      </c>
      <c r="L510" t="s">
        <v>1</v>
      </c>
      <c r="M510" t="s">
        <v>2</v>
      </c>
      <c r="N510" t="s">
        <v>3</v>
      </c>
      <c r="O510" t="s">
        <v>4</v>
      </c>
      <c r="P510" t="s">
        <v>5</v>
      </c>
      <c r="Q510" t="s">
        <v>6</v>
      </c>
      <c r="R510" t="s">
        <v>7</v>
      </c>
      <c r="S510" t="s">
        <v>8</v>
      </c>
      <c r="T510" t="s">
        <v>9</v>
      </c>
      <c r="U510" t="s">
        <v>10</v>
      </c>
    </row>
    <row r="511" spans="1:21">
      <c r="A511">
        <v>1</v>
      </c>
      <c r="B511" t="s">
        <v>11</v>
      </c>
      <c r="C511" s="1">
        <v>45881</v>
      </c>
      <c r="D511">
        <v>28</v>
      </c>
      <c r="E511">
        <v>23</v>
      </c>
      <c r="F511">
        <v>6</v>
      </c>
      <c r="G511">
        <v>6</v>
      </c>
      <c r="H511">
        <v>12</v>
      </c>
      <c r="I511">
        <f>D511+E511+H511</f>
        <v>63</v>
      </c>
      <c r="J511" t="s">
        <v>12</v>
      </c>
      <c r="L511">
        <v>1</v>
      </c>
      <c r="M511" t="s">
        <v>11</v>
      </c>
      <c r="N511" s="1">
        <v>45882</v>
      </c>
      <c r="T511">
        <f>O511+P511+S511</f>
        <v>0</v>
      </c>
      <c r="U511" t="s">
        <v>12</v>
      </c>
    </row>
    <row r="512" spans="1:21">
      <c r="A512">
        <v>2</v>
      </c>
      <c r="B512" t="s">
        <v>13</v>
      </c>
      <c r="C512" s="1">
        <v>45881</v>
      </c>
      <c r="D512">
        <v>14</v>
      </c>
      <c r="E512">
        <v>4</v>
      </c>
      <c r="F512">
        <v>0</v>
      </c>
      <c r="G512">
        <v>0</v>
      </c>
      <c r="H512">
        <v>0</v>
      </c>
      <c r="I512">
        <f>D512+E512+H512</f>
        <v>18</v>
      </c>
      <c r="J512" t="s">
        <v>14</v>
      </c>
      <c r="L512">
        <v>2</v>
      </c>
      <c r="M512" t="s">
        <v>13</v>
      </c>
      <c r="N512" s="1">
        <v>45882</v>
      </c>
      <c r="T512">
        <f>O512+P512+S512</f>
        <v>0</v>
      </c>
      <c r="U512" t="s">
        <v>14</v>
      </c>
    </row>
    <row r="513" spans="1:21">
      <c r="A513">
        <v>3</v>
      </c>
      <c r="B513" t="s">
        <v>15</v>
      </c>
      <c r="C513" s="1">
        <v>45881</v>
      </c>
      <c r="D513">
        <v>16</v>
      </c>
      <c r="E513">
        <v>13</v>
      </c>
      <c r="H513">
        <v>0</v>
      </c>
      <c r="I513">
        <f>SUM(D513,E513,H513)</f>
        <v>29</v>
      </c>
      <c r="J513" t="s">
        <v>16</v>
      </c>
      <c r="L513">
        <v>3</v>
      </c>
      <c r="M513" t="s">
        <v>15</v>
      </c>
      <c r="N513" s="1">
        <v>45882</v>
      </c>
      <c r="T513">
        <f>SUM(O513,P513,S513)</f>
        <v>0</v>
      </c>
      <c r="U513" t="s">
        <v>16</v>
      </c>
    </row>
    <row r="514" spans="1:21">
      <c r="A514">
        <v>4</v>
      </c>
      <c r="B514" t="s">
        <v>17</v>
      </c>
      <c r="C514" s="1">
        <v>45881</v>
      </c>
      <c r="D514">
        <v>29</v>
      </c>
      <c r="E514">
        <v>14</v>
      </c>
      <c r="F514">
        <v>0</v>
      </c>
      <c r="G514">
        <v>0</v>
      </c>
      <c r="H514">
        <v>0</v>
      </c>
      <c r="I514">
        <f>D514+E514+H514</f>
        <v>43</v>
      </c>
      <c r="J514" t="s">
        <v>14</v>
      </c>
      <c r="L514">
        <v>4</v>
      </c>
      <c r="M514" t="s">
        <v>17</v>
      </c>
      <c r="N514" s="1">
        <v>45882</v>
      </c>
      <c r="T514">
        <v>368</v>
      </c>
      <c r="U514" t="s">
        <v>14</v>
      </c>
    </row>
    <row r="515" spans="1:21">
      <c r="A515">
        <v>5</v>
      </c>
      <c r="B515" t="s">
        <v>18</v>
      </c>
      <c r="C515" s="1">
        <v>45881</v>
      </c>
      <c r="D515">
        <v>434</v>
      </c>
      <c r="E515">
        <v>342</v>
      </c>
      <c r="H515">
        <v>106</v>
      </c>
      <c r="I515">
        <f t="shared" ref="I515:I528" si="79">D515+E515+H515</f>
        <v>882</v>
      </c>
      <c r="J515" t="s">
        <v>19</v>
      </c>
      <c r="L515">
        <v>5</v>
      </c>
      <c r="M515" t="s">
        <v>18</v>
      </c>
      <c r="N515" s="1">
        <v>45882</v>
      </c>
      <c r="T515">
        <f t="shared" ref="T515:T528" si="80">O515+P515+S515</f>
        <v>0</v>
      </c>
      <c r="U515" t="s">
        <v>19</v>
      </c>
    </row>
    <row r="516" spans="1:21">
      <c r="A516">
        <v>6</v>
      </c>
      <c r="B516" t="s">
        <v>20</v>
      </c>
      <c r="C516" s="1">
        <v>45881</v>
      </c>
      <c r="D516">
        <v>120</v>
      </c>
      <c r="E516">
        <v>47</v>
      </c>
      <c r="H516">
        <v>0</v>
      </c>
      <c r="I516">
        <f t="shared" si="79"/>
        <v>167</v>
      </c>
      <c r="J516" t="s">
        <v>21</v>
      </c>
      <c r="L516">
        <v>6</v>
      </c>
      <c r="M516" t="s">
        <v>20</v>
      </c>
      <c r="N516" s="1">
        <v>45882</v>
      </c>
      <c r="T516">
        <f t="shared" si="80"/>
        <v>0</v>
      </c>
      <c r="U516" t="s">
        <v>21</v>
      </c>
    </row>
    <row r="517" spans="1:21">
      <c r="A517">
        <v>7</v>
      </c>
      <c r="B517" t="s">
        <v>22</v>
      </c>
      <c r="C517" s="1">
        <v>45881</v>
      </c>
      <c r="I517">
        <f t="shared" si="79"/>
        <v>0</v>
      </c>
      <c r="J517" t="s">
        <v>14</v>
      </c>
      <c r="L517">
        <v>7</v>
      </c>
      <c r="M517" t="s">
        <v>22</v>
      </c>
      <c r="N517" s="1">
        <v>45882</v>
      </c>
      <c r="T517">
        <f t="shared" si="80"/>
        <v>0</v>
      </c>
      <c r="U517" t="s">
        <v>14</v>
      </c>
    </row>
    <row r="518" spans="1:21">
      <c r="A518">
        <v>8</v>
      </c>
      <c r="B518" t="s">
        <v>23</v>
      </c>
      <c r="C518" s="1">
        <v>45881</v>
      </c>
      <c r="I518">
        <f t="shared" si="79"/>
        <v>0</v>
      </c>
      <c r="J518" t="s">
        <v>12</v>
      </c>
      <c r="L518">
        <v>8</v>
      </c>
      <c r="M518" t="s">
        <v>23</v>
      </c>
      <c r="N518" s="1">
        <v>45882</v>
      </c>
      <c r="T518">
        <f t="shared" si="80"/>
        <v>0</v>
      </c>
      <c r="U518" t="s">
        <v>12</v>
      </c>
    </row>
    <row r="519" spans="1:21">
      <c r="A519">
        <v>9</v>
      </c>
      <c r="B519" t="s">
        <v>24</v>
      </c>
      <c r="C519" s="1">
        <v>45881</v>
      </c>
      <c r="D519">
        <v>57</v>
      </c>
      <c r="E519">
        <v>19</v>
      </c>
      <c r="H519">
        <v>15</v>
      </c>
      <c r="I519">
        <f t="shared" si="79"/>
        <v>91</v>
      </c>
      <c r="J519" t="s">
        <v>25</v>
      </c>
      <c r="L519">
        <v>9</v>
      </c>
      <c r="M519" t="s">
        <v>24</v>
      </c>
      <c r="N519" s="1">
        <v>45882</v>
      </c>
      <c r="T519">
        <f t="shared" si="80"/>
        <v>0</v>
      </c>
      <c r="U519" t="s">
        <v>25</v>
      </c>
    </row>
    <row r="520" spans="1:21">
      <c r="A520">
        <v>10</v>
      </c>
      <c r="B520" t="s">
        <v>26</v>
      </c>
      <c r="C520" s="1">
        <v>45881</v>
      </c>
      <c r="D520">
        <v>112</v>
      </c>
      <c r="E520">
        <v>78</v>
      </c>
      <c r="H520">
        <v>25</v>
      </c>
      <c r="I520">
        <f t="shared" si="79"/>
        <v>215</v>
      </c>
      <c r="J520" t="s">
        <v>16</v>
      </c>
      <c r="L520">
        <v>10</v>
      </c>
      <c r="M520" t="s">
        <v>26</v>
      </c>
      <c r="N520" s="1">
        <v>45882</v>
      </c>
      <c r="T520">
        <f t="shared" si="80"/>
        <v>0</v>
      </c>
      <c r="U520" t="s">
        <v>16</v>
      </c>
    </row>
    <row r="521" spans="1:21">
      <c r="A521">
        <v>11</v>
      </c>
      <c r="B521" t="s">
        <v>27</v>
      </c>
      <c r="C521" s="1">
        <v>45881</v>
      </c>
      <c r="D521">
        <v>7</v>
      </c>
      <c r="E521">
        <v>1</v>
      </c>
      <c r="F521">
        <v>1</v>
      </c>
      <c r="G521">
        <v>0</v>
      </c>
      <c r="H521">
        <v>1</v>
      </c>
      <c r="I521">
        <f t="shared" si="79"/>
        <v>9</v>
      </c>
      <c r="J521" t="s">
        <v>19</v>
      </c>
      <c r="L521">
        <v>11</v>
      </c>
      <c r="M521" t="s">
        <v>27</v>
      </c>
      <c r="N521" s="1">
        <v>45882</v>
      </c>
      <c r="T521">
        <f t="shared" si="80"/>
        <v>0</v>
      </c>
      <c r="U521" t="s">
        <v>19</v>
      </c>
    </row>
    <row r="522" spans="1:21">
      <c r="A522">
        <v>12</v>
      </c>
      <c r="B522" t="s">
        <v>28</v>
      </c>
      <c r="C522" s="1">
        <v>45881</v>
      </c>
      <c r="D522">
        <v>215</v>
      </c>
      <c r="E522">
        <v>234</v>
      </c>
      <c r="F522">
        <v>23</v>
      </c>
      <c r="G522">
        <v>21</v>
      </c>
      <c r="H522">
        <v>44</v>
      </c>
      <c r="I522">
        <f t="shared" si="79"/>
        <v>493</v>
      </c>
      <c r="J522" t="s">
        <v>25</v>
      </c>
      <c r="L522">
        <v>12</v>
      </c>
      <c r="M522" t="s">
        <v>28</v>
      </c>
      <c r="N522" s="1">
        <v>45882</v>
      </c>
      <c r="T522">
        <f t="shared" si="80"/>
        <v>0</v>
      </c>
      <c r="U522" t="s">
        <v>25</v>
      </c>
    </row>
    <row r="523" spans="1:21">
      <c r="A523">
        <v>13</v>
      </c>
      <c r="B523" t="s">
        <v>29</v>
      </c>
      <c r="C523" s="1">
        <v>45881</v>
      </c>
      <c r="D523">
        <v>92</v>
      </c>
      <c r="E523">
        <v>103</v>
      </c>
      <c r="F523">
        <v>11</v>
      </c>
      <c r="G523">
        <v>7</v>
      </c>
      <c r="H523">
        <v>18</v>
      </c>
      <c r="I523">
        <f t="shared" si="79"/>
        <v>213</v>
      </c>
      <c r="J523" t="s">
        <v>30</v>
      </c>
      <c r="L523">
        <v>13</v>
      </c>
      <c r="M523" t="s">
        <v>29</v>
      </c>
      <c r="N523" s="1">
        <v>45882</v>
      </c>
      <c r="T523">
        <f t="shared" si="80"/>
        <v>0</v>
      </c>
      <c r="U523" t="s">
        <v>30</v>
      </c>
    </row>
    <row r="524" spans="1:21">
      <c r="A524">
        <v>14</v>
      </c>
      <c r="B524" t="s">
        <v>31</v>
      </c>
      <c r="C524" s="1">
        <v>45881</v>
      </c>
      <c r="D524">
        <v>40</v>
      </c>
      <c r="E524">
        <v>34</v>
      </c>
      <c r="F524">
        <v>3</v>
      </c>
      <c r="G524">
        <v>2</v>
      </c>
      <c r="H524">
        <v>5</v>
      </c>
      <c r="I524">
        <f t="shared" si="79"/>
        <v>79</v>
      </c>
      <c r="J524" t="s">
        <v>12</v>
      </c>
      <c r="L524">
        <v>14</v>
      </c>
      <c r="M524" t="s">
        <v>31</v>
      </c>
      <c r="N524" s="1">
        <v>45882</v>
      </c>
      <c r="T524">
        <f t="shared" si="80"/>
        <v>0</v>
      </c>
      <c r="U524" t="s">
        <v>12</v>
      </c>
    </row>
    <row r="525" spans="1:21">
      <c r="A525">
        <v>15</v>
      </c>
      <c r="B525" t="s">
        <v>32</v>
      </c>
      <c r="C525" s="1">
        <v>45881</v>
      </c>
      <c r="I525">
        <f t="shared" si="79"/>
        <v>0</v>
      </c>
      <c r="J525" t="s">
        <v>33</v>
      </c>
      <c r="L525">
        <v>15</v>
      </c>
      <c r="M525" t="s">
        <v>32</v>
      </c>
      <c r="N525" s="1">
        <v>45882</v>
      </c>
      <c r="T525">
        <f t="shared" si="80"/>
        <v>0</v>
      </c>
      <c r="U525" t="s">
        <v>33</v>
      </c>
    </row>
    <row r="526" spans="1:21">
      <c r="A526">
        <v>16</v>
      </c>
      <c r="B526" t="s">
        <v>34</v>
      </c>
      <c r="C526" s="1">
        <v>45881</v>
      </c>
      <c r="I526">
        <f t="shared" si="79"/>
        <v>0</v>
      </c>
      <c r="J526" t="s">
        <v>21</v>
      </c>
      <c r="L526">
        <v>16</v>
      </c>
      <c r="M526" t="s">
        <v>34</v>
      </c>
      <c r="N526" s="1">
        <v>45882</v>
      </c>
      <c r="T526">
        <f t="shared" si="80"/>
        <v>0</v>
      </c>
      <c r="U526" t="s">
        <v>21</v>
      </c>
    </row>
    <row r="527" spans="1:21">
      <c r="A527">
        <v>17</v>
      </c>
      <c r="B527" t="s">
        <v>35</v>
      </c>
      <c r="C527" s="1">
        <v>45881</v>
      </c>
      <c r="I527">
        <f t="shared" si="79"/>
        <v>0</v>
      </c>
      <c r="J527" t="s">
        <v>33</v>
      </c>
      <c r="L527">
        <v>17</v>
      </c>
      <c r="M527" t="s">
        <v>35</v>
      </c>
      <c r="N527" s="1">
        <v>45882</v>
      </c>
      <c r="T527">
        <f t="shared" si="80"/>
        <v>0</v>
      </c>
      <c r="U527" t="s">
        <v>33</v>
      </c>
    </row>
    <row r="528" spans="1:21">
      <c r="A528">
        <v>18</v>
      </c>
      <c r="B528" t="s">
        <v>36</v>
      </c>
      <c r="C528" s="1">
        <v>45881</v>
      </c>
      <c r="I528">
        <f t="shared" si="79"/>
        <v>0</v>
      </c>
      <c r="J528" t="s">
        <v>33</v>
      </c>
      <c r="L528">
        <v>18</v>
      </c>
      <c r="M528" t="s">
        <v>36</v>
      </c>
      <c r="N528" s="1">
        <v>45882</v>
      </c>
      <c r="T528">
        <f t="shared" si="80"/>
        <v>0</v>
      </c>
      <c r="U528" t="s">
        <v>33</v>
      </c>
    </row>
    <row r="529" spans="1:21">
      <c r="A529">
        <v>19</v>
      </c>
      <c r="B529" t="s">
        <v>37</v>
      </c>
      <c r="C529" s="1">
        <v>45881</v>
      </c>
      <c r="I529">
        <f>D529+E529+H529</f>
        <v>0</v>
      </c>
      <c r="L529">
        <v>19</v>
      </c>
      <c r="M529" t="s">
        <v>37</v>
      </c>
      <c r="N529" s="1">
        <v>45882</v>
      </c>
      <c r="T529">
        <f>O529+P529+S529</f>
        <v>0</v>
      </c>
    </row>
    <row r="530" spans="1:21">
      <c r="A530">
        <v>20</v>
      </c>
      <c r="B530" t="s">
        <v>38</v>
      </c>
      <c r="C530" s="1">
        <v>45881</v>
      </c>
      <c r="I530">
        <f t="shared" ref="I530" si="81">D530+E530+H530</f>
        <v>0</v>
      </c>
      <c r="J530" t="s">
        <v>19</v>
      </c>
      <c r="L530">
        <v>20</v>
      </c>
      <c r="M530" t="s">
        <v>38</v>
      </c>
      <c r="N530" s="1">
        <v>45882</v>
      </c>
      <c r="T530">
        <f t="shared" ref="T530" si="82">O530+P530+S530</f>
        <v>0</v>
      </c>
      <c r="U530" t="s">
        <v>19</v>
      </c>
    </row>
    <row r="531" spans="1:21">
      <c r="B531" t="s">
        <v>9</v>
      </c>
      <c r="D531">
        <f>D511+D512+D513+D514+D515+D516+D518+D517+D519+D520+D521+D522+D523+D524+D526+D528</f>
        <v>1164</v>
      </c>
      <c r="E531">
        <f>SUM(E511:E530)</f>
        <v>912</v>
      </c>
      <c r="I531">
        <f>I511+I512+I513+I514+I515+I516+I517+I518+I519+I520+I521+I522+I523+I524+I525+I526+I527+I528+I529+I530</f>
        <v>2302</v>
      </c>
      <c r="M531" t="s">
        <v>9</v>
      </c>
      <c r="O531">
        <f>O511+O512+O513+O514+O515+O516+O518+O517+O519+O520+O521+O522+O523+O524+O526+O528</f>
        <v>0</v>
      </c>
      <c r="P531">
        <f>SUM(P511:P530)</f>
        <v>0</v>
      </c>
      <c r="T531">
        <f>T511+T512+T513+T514+T515+T516+T517+T518+T519+T520+T521+T522+T523+T524+T525+T526+T527+T528+T529+T530</f>
        <v>368</v>
      </c>
    </row>
    <row r="534" spans="1:21">
      <c r="A534" t="s">
        <v>1</v>
      </c>
      <c r="B534" t="s">
        <v>2</v>
      </c>
      <c r="C534" t="s">
        <v>3</v>
      </c>
      <c r="D534" t="s">
        <v>4</v>
      </c>
      <c r="E534" t="s">
        <v>5</v>
      </c>
      <c r="F534" t="s">
        <v>6</v>
      </c>
      <c r="G534" t="s">
        <v>7</v>
      </c>
      <c r="H534" t="s">
        <v>8</v>
      </c>
      <c r="I534" t="s">
        <v>9</v>
      </c>
      <c r="J534" t="s">
        <v>10</v>
      </c>
      <c r="L534" t="s">
        <v>1</v>
      </c>
      <c r="M534" t="s">
        <v>2</v>
      </c>
      <c r="N534" t="s">
        <v>3</v>
      </c>
      <c r="O534" t="s">
        <v>4</v>
      </c>
      <c r="P534" t="s">
        <v>5</v>
      </c>
      <c r="Q534" t="s">
        <v>6</v>
      </c>
      <c r="R534" t="s">
        <v>7</v>
      </c>
      <c r="S534" t="s">
        <v>8</v>
      </c>
      <c r="T534" t="s">
        <v>9</v>
      </c>
      <c r="U534" t="s">
        <v>10</v>
      </c>
    </row>
    <row r="535" spans="1:21">
      <c r="A535">
        <v>1</v>
      </c>
      <c r="B535" t="s">
        <v>11</v>
      </c>
      <c r="C535" t="s">
        <v>62</v>
      </c>
      <c r="I535">
        <f>D535+E535+H535</f>
        <v>0</v>
      </c>
      <c r="J535" t="s">
        <v>12</v>
      </c>
      <c r="L535">
        <v>1</v>
      </c>
      <c r="M535" t="s">
        <v>11</v>
      </c>
      <c r="N535" t="s">
        <v>62</v>
      </c>
      <c r="T535">
        <f>O535+P535+S535</f>
        <v>0</v>
      </c>
      <c r="U535" t="s">
        <v>12</v>
      </c>
    </row>
    <row r="536" spans="1:21">
      <c r="A536">
        <v>2</v>
      </c>
      <c r="B536" t="s">
        <v>13</v>
      </c>
      <c r="I536">
        <f>D536+E536+H536</f>
        <v>0</v>
      </c>
      <c r="J536" t="s">
        <v>14</v>
      </c>
      <c r="L536">
        <v>2</v>
      </c>
      <c r="M536" t="s">
        <v>13</v>
      </c>
      <c r="T536">
        <f>O536+P536+S536</f>
        <v>0</v>
      </c>
      <c r="U536" t="s">
        <v>14</v>
      </c>
    </row>
    <row r="537" spans="1:21">
      <c r="A537">
        <v>3</v>
      </c>
      <c r="B537" t="s">
        <v>15</v>
      </c>
      <c r="I537">
        <f>SUM(D537,E537,H537)</f>
        <v>0</v>
      </c>
      <c r="J537" t="s">
        <v>16</v>
      </c>
      <c r="L537">
        <v>3</v>
      </c>
      <c r="M537" t="s">
        <v>15</v>
      </c>
      <c r="T537">
        <f>SUM(O537,P537,S537)</f>
        <v>0</v>
      </c>
      <c r="U537" t="s">
        <v>16</v>
      </c>
    </row>
    <row r="538" spans="1:21">
      <c r="A538">
        <v>4</v>
      </c>
      <c r="B538" t="s">
        <v>17</v>
      </c>
      <c r="I538">
        <v>368</v>
      </c>
      <c r="J538" t="s">
        <v>14</v>
      </c>
      <c r="L538">
        <v>4</v>
      </c>
      <c r="M538" t="s">
        <v>17</v>
      </c>
      <c r="T538">
        <v>368</v>
      </c>
      <c r="U538" t="s">
        <v>14</v>
      </c>
    </row>
    <row r="539" spans="1:21">
      <c r="A539">
        <v>5</v>
      </c>
      <c r="B539" t="s">
        <v>18</v>
      </c>
      <c r="I539">
        <f t="shared" ref="I539:I552" si="83">D539+E539+H539</f>
        <v>0</v>
      </c>
      <c r="J539" t="s">
        <v>19</v>
      </c>
      <c r="L539">
        <v>5</v>
      </c>
      <c r="M539" t="s">
        <v>18</v>
      </c>
      <c r="T539">
        <f t="shared" ref="T539:T552" si="84">O539+P539+S539</f>
        <v>0</v>
      </c>
      <c r="U539" t="s">
        <v>19</v>
      </c>
    </row>
    <row r="540" spans="1:21">
      <c r="A540">
        <v>6</v>
      </c>
      <c r="B540" t="s">
        <v>20</v>
      </c>
      <c r="I540">
        <f t="shared" si="83"/>
        <v>0</v>
      </c>
      <c r="J540" t="s">
        <v>21</v>
      </c>
      <c r="L540">
        <v>6</v>
      </c>
      <c r="M540" t="s">
        <v>20</v>
      </c>
      <c r="T540">
        <f t="shared" si="84"/>
        <v>0</v>
      </c>
      <c r="U540" t="s">
        <v>21</v>
      </c>
    </row>
    <row r="541" spans="1:21">
      <c r="A541">
        <v>7</v>
      </c>
      <c r="B541" t="s">
        <v>22</v>
      </c>
      <c r="I541">
        <f t="shared" si="83"/>
        <v>0</v>
      </c>
      <c r="J541" t="s">
        <v>14</v>
      </c>
      <c r="L541">
        <v>7</v>
      </c>
      <c r="M541" t="s">
        <v>22</v>
      </c>
      <c r="T541">
        <f t="shared" si="84"/>
        <v>0</v>
      </c>
      <c r="U541" t="s">
        <v>14</v>
      </c>
    </row>
    <row r="542" spans="1:21">
      <c r="A542">
        <v>8</v>
      </c>
      <c r="B542" t="s">
        <v>23</v>
      </c>
      <c r="I542">
        <f t="shared" si="83"/>
        <v>0</v>
      </c>
      <c r="J542" t="s">
        <v>12</v>
      </c>
      <c r="L542">
        <v>8</v>
      </c>
      <c r="M542" t="s">
        <v>23</v>
      </c>
      <c r="T542">
        <f t="shared" si="84"/>
        <v>0</v>
      </c>
      <c r="U542" t="s">
        <v>12</v>
      </c>
    </row>
    <row r="543" spans="1:21">
      <c r="A543">
        <v>9</v>
      </c>
      <c r="B543" t="s">
        <v>24</v>
      </c>
      <c r="I543">
        <f t="shared" si="83"/>
        <v>0</v>
      </c>
      <c r="J543" t="s">
        <v>25</v>
      </c>
      <c r="L543">
        <v>9</v>
      </c>
      <c r="M543" t="s">
        <v>24</v>
      </c>
      <c r="T543">
        <f t="shared" si="84"/>
        <v>0</v>
      </c>
      <c r="U543" t="s">
        <v>25</v>
      </c>
    </row>
    <row r="544" spans="1:21">
      <c r="A544">
        <v>10</v>
      </c>
      <c r="B544" t="s">
        <v>26</v>
      </c>
      <c r="I544">
        <f t="shared" si="83"/>
        <v>0</v>
      </c>
      <c r="J544" t="s">
        <v>16</v>
      </c>
      <c r="L544">
        <v>10</v>
      </c>
      <c r="M544" t="s">
        <v>26</v>
      </c>
      <c r="T544">
        <f t="shared" si="84"/>
        <v>0</v>
      </c>
      <c r="U544" t="s">
        <v>16</v>
      </c>
    </row>
    <row r="545" spans="1:21">
      <c r="A545">
        <v>11</v>
      </c>
      <c r="B545" t="s">
        <v>27</v>
      </c>
      <c r="I545">
        <f t="shared" si="83"/>
        <v>0</v>
      </c>
      <c r="J545" t="s">
        <v>19</v>
      </c>
      <c r="L545">
        <v>11</v>
      </c>
      <c r="M545" t="s">
        <v>27</v>
      </c>
      <c r="T545">
        <f t="shared" si="84"/>
        <v>0</v>
      </c>
      <c r="U545" t="s">
        <v>19</v>
      </c>
    </row>
    <row r="546" spans="1:21">
      <c r="A546">
        <v>12</v>
      </c>
      <c r="B546" t="s">
        <v>28</v>
      </c>
      <c r="I546">
        <f t="shared" si="83"/>
        <v>0</v>
      </c>
      <c r="J546" t="s">
        <v>25</v>
      </c>
      <c r="L546">
        <v>12</v>
      </c>
      <c r="M546" t="s">
        <v>28</v>
      </c>
      <c r="T546">
        <f t="shared" si="84"/>
        <v>0</v>
      </c>
      <c r="U546" t="s">
        <v>25</v>
      </c>
    </row>
    <row r="547" spans="1:21">
      <c r="A547">
        <v>13</v>
      </c>
      <c r="B547" t="s">
        <v>29</v>
      </c>
      <c r="I547">
        <f t="shared" si="83"/>
        <v>0</v>
      </c>
      <c r="J547" t="s">
        <v>30</v>
      </c>
      <c r="L547">
        <v>13</v>
      </c>
      <c r="M547" t="s">
        <v>29</v>
      </c>
      <c r="T547">
        <f t="shared" si="84"/>
        <v>0</v>
      </c>
      <c r="U547" t="s">
        <v>30</v>
      </c>
    </row>
    <row r="548" spans="1:21">
      <c r="A548">
        <v>14</v>
      </c>
      <c r="B548" t="s">
        <v>31</v>
      </c>
      <c r="I548">
        <f t="shared" si="83"/>
        <v>0</v>
      </c>
      <c r="J548" t="s">
        <v>12</v>
      </c>
      <c r="L548">
        <v>14</v>
      </c>
      <c r="M548" t="s">
        <v>31</v>
      </c>
      <c r="T548">
        <f t="shared" si="84"/>
        <v>0</v>
      </c>
      <c r="U548" t="s">
        <v>12</v>
      </c>
    </row>
    <row r="549" spans="1:21">
      <c r="A549">
        <v>15</v>
      </c>
      <c r="B549" t="s">
        <v>32</v>
      </c>
      <c r="I549">
        <f t="shared" si="83"/>
        <v>0</v>
      </c>
      <c r="J549" t="s">
        <v>33</v>
      </c>
      <c r="L549">
        <v>15</v>
      </c>
      <c r="M549" t="s">
        <v>32</v>
      </c>
      <c r="T549">
        <f t="shared" si="84"/>
        <v>0</v>
      </c>
      <c r="U549" t="s">
        <v>33</v>
      </c>
    </row>
    <row r="550" spans="1:21">
      <c r="A550">
        <v>16</v>
      </c>
      <c r="B550" t="s">
        <v>34</v>
      </c>
      <c r="I550">
        <f t="shared" si="83"/>
        <v>0</v>
      </c>
      <c r="J550" t="s">
        <v>21</v>
      </c>
      <c r="L550">
        <v>16</v>
      </c>
      <c r="M550" t="s">
        <v>34</v>
      </c>
      <c r="T550">
        <f t="shared" si="84"/>
        <v>0</v>
      </c>
      <c r="U550" t="s">
        <v>21</v>
      </c>
    </row>
    <row r="551" spans="1:21">
      <c r="A551">
        <v>17</v>
      </c>
      <c r="B551" t="s">
        <v>35</v>
      </c>
      <c r="I551">
        <f t="shared" si="83"/>
        <v>0</v>
      </c>
      <c r="J551" t="s">
        <v>33</v>
      </c>
      <c r="L551">
        <v>17</v>
      </c>
      <c r="M551" t="s">
        <v>35</v>
      </c>
      <c r="T551">
        <f t="shared" si="84"/>
        <v>0</v>
      </c>
      <c r="U551" t="s">
        <v>33</v>
      </c>
    </row>
    <row r="552" spans="1:21">
      <c r="A552">
        <v>18</v>
      </c>
      <c r="B552" t="s">
        <v>36</v>
      </c>
      <c r="I552">
        <f t="shared" si="83"/>
        <v>0</v>
      </c>
      <c r="J552" t="s">
        <v>33</v>
      </c>
      <c r="L552">
        <v>18</v>
      </c>
      <c r="M552" t="s">
        <v>36</v>
      </c>
      <c r="T552">
        <f t="shared" si="84"/>
        <v>0</v>
      </c>
      <c r="U552" t="s">
        <v>33</v>
      </c>
    </row>
    <row r="553" spans="1:21">
      <c r="A553">
        <v>19</v>
      </c>
      <c r="B553" t="s">
        <v>37</v>
      </c>
      <c r="I553">
        <f>D553+E553+H553</f>
        <v>0</v>
      </c>
      <c r="L553">
        <v>19</v>
      </c>
      <c r="M553" t="s">
        <v>37</v>
      </c>
      <c r="T553">
        <f>O553+P553+S553</f>
        <v>0</v>
      </c>
    </row>
    <row r="554" spans="1:21">
      <c r="A554">
        <v>20</v>
      </c>
      <c r="B554" t="s">
        <v>38</v>
      </c>
      <c r="I554">
        <f t="shared" ref="I554" si="85">D554+E554+H554</f>
        <v>0</v>
      </c>
      <c r="J554" t="s">
        <v>19</v>
      </c>
      <c r="L554">
        <v>20</v>
      </c>
      <c r="M554" t="s">
        <v>38</v>
      </c>
      <c r="T554">
        <f t="shared" ref="T554" si="86">O554+P554+S554</f>
        <v>0</v>
      </c>
      <c r="U554" t="s">
        <v>19</v>
      </c>
    </row>
    <row r="555" spans="1:21">
      <c r="B555" t="s">
        <v>9</v>
      </c>
      <c r="D555">
        <f>D535+D536+D537+D538+D539+D540+D542+D541+D543+D544+D545+D546+D547+D548+D550+D552</f>
        <v>0</v>
      </c>
      <c r="E555">
        <f>SUM(E535:E554)</f>
        <v>0</v>
      </c>
      <c r="I555">
        <f>I535+I536+I537+I538+I539+I540+I541+I542+I543+I544+I545+I546+I547+I548+I549+I550+I551+I552+I553+I554</f>
        <v>368</v>
      </c>
      <c r="M555" t="s">
        <v>9</v>
      </c>
      <c r="O555">
        <f>O535+O536+O537+O538+O539+O540+O542+O541+O543+O544+O545+O546+O547+O548+O550+O552</f>
        <v>0</v>
      </c>
      <c r="P555">
        <f>SUM(P535:P554)</f>
        <v>0</v>
      </c>
      <c r="T555">
        <f>T535+T536+T537+T538+T539+T540+T541+T542+T543+T544+T545+T546+T547+T548+T549+T550+T551+T552+T553+T554</f>
        <v>368</v>
      </c>
    </row>
    <row r="558" spans="1:21">
      <c r="A558" t="s">
        <v>1</v>
      </c>
      <c r="B558" t="s">
        <v>2</v>
      </c>
      <c r="C558" t="s">
        <v>3</v>
      </c>
      <c r="D558" t="s">
        <v>4</v>
      </c>
      <c r="E558" t="s">
        <v>5</v>
      </c>
      <c r="F558" t="s">
        <v>6</v>
      </c>
      <c r="G558" t="s">
        <v>7</v>
      </c>
      <c r="H558" t="s">
        <v>8</v>
      </c>
      <c r="I558" t="s">
        <v>9</v>
      </c>
      <c r="J558" t="s">
        <v>10</v>
      </c>
      <c r="L558" t="s">
        <v>1</v>
      </c>
      <c r="M558" t="s">
        <v>2</v>
      </c>
      <c r="N558" t="s">
        <v>3</v>
      </c>
      <c r="O558" t="s">
        <v>4</v>
      </c>
      <c r="P558" t="s">
        <v>5</v>
      </c>
      <c r="Q558" t="s">
        <v>6</v>
      </c>
      <c r="R558" t="s">
        <v>7</v>
      </c>
      <c r="S558" t="s">
        <v>8</v>
      </c>
      <c r="T558" t="s">
        <v>9</v>
      </c>
      <c r="U558" t="s">
        <v>10</v>
      </c>
    </row>
    <row r="559" spans="1:21">
      <c r="A559">
        <v>1</v>
      </c>
      <c r="B559" t="s">
        <v>11</v>
      </c>
      <c r="C559" t="s">
        <v>62</v>
      </c>
      <c r="I559">
        <f>D559+E559+H559</f>
        <v>0</v>
      </c>
      <c r="J559" t="s">
        <v>12</v>
      </c>
      <c r="L559">
        <v>1</v>
      </c>
      <c r="M559" t="s">
        <v>11</v>
      </c>
      <c r="N559" t="s">
        <v>62</v>
      </c>
      <c r="T559">
        <f>O559+P559+S559</f>
        <v>0</v>
      </c>
      <c r="U559" t="s">
        <v>12</v>
      </c>
    </row>
    <row r="560" spans="1:21">
      <c r="A560">
        <v>2</v>
      </c>
      <c r="B560" t="s">
        <v>13</v>
      </c>
      <c r="I560">
        <f>D560+E560+H560</f>
        <v>0</v>
      </c>
      <c r="J560" t="s">
        <v>14</v>
      </c>
      <c r="L560">
        <v>2</v>
      </c>
      <c r="M560" t="s">
        <v>13</v>
      </c>
      <c r="T560">
        <f>O560+P560+S560</f>
        <v>0</v>
      </c>
      <c r="U560" t="s">
        <v>14</v>
      </c>
    </row>
    <row r="561" spans="1:21">
      <c r="A561">
        <v>3</v>
      </c>
      <c r="B561" t="s">
        <v>15</v>
      </c>
      <c r="I561">
        <f>SUM(D561,E561,H561)</f>
        <v>0</v>
      </c>
      <c r="J561" t="s">
        <v>16</v>
      </c>
      <c r="L561">
        <v>3</v>
      </c>
      <c r="M561" t="s">
        <v>15</v>
      </c>
      <c r="T561">
        <f>SUM(O561,P561,S561)</f>
        <v>0</v>
      </c>
      <c r="U561" t="s">
        <v>16</v>
      </c>
    </row>
    <row r="562" spans="1:21">
      <c r="A562">
        <v>4</v>
      </c>
      <c r="B562" t="s">
        <v>17</v>
      </c>
      <c r="I562">
        <v>368</v>
      </c>
      <c r="J562" t="s">
        <v>14</v>
      </c>
      <c r="L562">
        <v>4</v>
      </c>
      <c r="M562" t="s">
        <v>17</v>
      </c>
      <c r="T562">
        <v>368</v>
      </c>
      <c r="U562" t="s">
        <v>14</v>
      </c>
    </row>
    <row r="563" spans="1:21">
      <c r="A563">
        <v>5</v>
      </c>
      <c r="B563" t="s">
        <v>18</v>
      </c>
      <c r="I563">
        <f t="shared" ref="I563:I576" si="87">D563+E563+H563</f>
        <v>0</v>
      </c>
      <c r="J563" t="s">
        <v>19</v>
      </c>
      <c r="L563">
        <v>5</v>
      </c>
      <c r="M563" t="s">
        <v>18</v>
      </c>
      <c r="T563">
        <f t="shared" ref="T563:T576" si="88">O563+P563+S563</f>
        <v>0</v>
      </c>
      <c r="U563" t="s">
        <v>19</v>
      </c>
    </row>
    <row r="564" spans="1:21">
      <c r="A564">
        <v>6</v>
      </c>
      <c r="B564" t="s">
        <v>20</v>
      </c>
      <c r="I564">
        <f t="shared" si="87"/>
        <v>0</v>
      </c>
      <c r="J564" t="s">
        <v>21</v>
      </c>
      <c r="L564">
        <v>6</v>
      </c>
      <c r="M564" t="s">
        <v>20</v>
      </c>
      <c r="T564">
        <f t="shared" si="88"/>
        <v>0</v>
      </c>
      <c r="U564" t="s">
        <v>21</v>
      </c>
    </row>
    <row r="565" spans="1:21">
      <c r="A565">
        <v>7</v>
      </c>
      <c r="B565" t="s">
        <v>22</v>
      </c>
      <c r="I565">
        <f t="shared" si="87"/>
        <v>0</v>
      </c>
      <c r="J565" t="s">
        <v>14</v>
      </c>
      <c r="L565">
        <v>7</v>
      </c>
      <c r="M565" t="s">
        <v>22</v>
      </c>
      <c r="T565">
        <f t="shared" si="88"/>
        <v>0</v>
      </c>
      <c r="U565" t="s">
        <v>14</v>
      </c>
    </row>
    <row r="566" spans="1:21">
      <c r="A566">
        <v>8</v>
      </c>
      <c r="B566" t="s">
        <v>23</v>
      </c>
      <c r="I566">
        <f t="shared" si="87"/>
        <v>0</v>
      </c>
      <c r="J566" t="s">
        <v>12</v>
      </c>
      <c r="L566">
        <v>8</v>
      </c>
      <c r="M566" t="s">
        <v>23</v>
      </c>
      <c r="T566">
        <f t="shared" si="88"/>
        <v>0</v>
      </c>
      <c r="U566" t="s">
        <v>12</v>
      </c>
    </row>
    <row r="567" spans="1:21">
      <c r="A567">
        <v>9</v>
      </c>
      <c r="B567" t="s">
        <v>24</v>
      </c>
      <c r="I567">
        <f t="shared" si="87"/>
        <v>0</v>
      </c>
      <c r="J567" t="s">
        <v>25</v>
      </c>
      <c r="L567">
        <v>9</v>
      </c>
      <c r="M567" t="s">
        <v>24</v>
      </c>
      <c r="T567">
        <f t="shared" si="88"/>
        <v>0</v>
      </c>
      <c r="U567" t="s">
        <v>25</v>
      </c>
    </row>
    <row r="568" spans="1:21">
      <c r="A568">
        <v>10</v>
      </c>
      <c r="B568" t="s">
        <v>26</v>
      </c>
      <c r="I568">
        <f t="shared" si="87"/>
        <v>0</v>
      </c>
      <c r="J568" t="s">
        <v>16</v>
      </c>
      <c r="L568">
        <v>10</v>
      </c>
      <c r="M568" t="s">
        <v>26</v>
      </c>
      <c r="T568">
        <f t="shared" si="88"/>
        <v>0</v>
      </c>
      <c r="U568" t="s">
        <v>16</v>
      </c>
    </row>
    <row r="569" spans="1:21">
      <c r="A569">
        <v>11</v>
      </c>
      <c r="B569" t="s">
        <v>27</v>
      </c>
      <c r="I569">
        <f t="shared" si="87"/>
        <v>0</v>
      </c>
      <c r="J569" t="s">
        <v>19</v>
      </c>
      <c r="L569">
        <v>11</v>
      </c>
      <c r="M569" t="s">
        <v>27</v>
      </c>
      <c r="T569">
        <f t="shared" si="88"/>
        <v>0</v>
      </c>
      <c r="U569" t="s">
        <v>19</v>
      </c>
    </row>
    <row r="570" spans="1:21">
      <c r="A570">
        <v>12</v>
      </c>
      <c r="B570" t="s">
        <v>28</v>
      </c>
      <c r="I570">
        <f t="shared" si="87"/>
        <v>0</v>
      </c>
      <c r="J570" t="s">
        <v>25</v>
      </c>
      <c r="L570">
        <v>12</v>
      </c>
      <c r="M570" t="s">
        <v>28</v>
      </c>
      <c r="T570">
        <f t="shared" si="88"/>
        <v>0</v>
      </c>
      <c r="U570" t="s">
        <v>25</v>
      </c>
    </row>
    <row r="571" spans="1:21">
      <c r="A571">
        <v>13</v>
      </c>
      <c r="B571" t="s">
        <v>29</v>
      </c>
      <c r="I571">
        <f t="shared" si="87"/>
        <v>0</v>
      </c>
      <c r="J571" t="s">
        <v>30</v>
      </c>
      <c r="L571">
        <v>13</v>
      </c>
      <c r="M571" t="s">
        <v>29</v>
      </c>
      <c r="T571">
        <f t="shared" si="88"/>
        <v>0</v>
      </c>
      <c r="U571" t="s">
        <v>30</v>
      </c>
    </row>
    <row r="572" spans="1:21">
      <c r="A572">
        <v>14</v>
      </c>
      <c r="B572" t="s">
        <v>31</v>
      </c>
      <c r="I572">
        <f t="shared" si="87"/>
        <v>0</v>
      </c>
      <c r="J572" t="s">
        <v>12</v>
      </c>
      <c r="L572">
        <v>14</v>
      </c>
      <c r="M572" t="s">
        <v>31</v>
      </c>
      <c r="T572">
        <f t="shared" si="88"/>
        <v>0</v>
      </c>
      <c r="U572" t="s">
        <v>12</v>
      </c>
    </row>
    <row r="573" spans="1:21">
      <c r="A573">
        <v>15</v>
      </c>
      <c r="B573" t="s">
        <v>32</v>
      </c>
      <c r="I573">
        <f t="shared" si="87"/>
        <v>0</v>
      </c>
      <c r="J573" t="s">
        <v>33</v>
      </c>
      <c r="L573">
        <v>15</v>
      </c>
      <c r="M573" t="s">
        <v>32</v>
      </c>
      <c r="T573">
        <f t="shared" si="88"/>
        <v>0</v>
      </c>
      <c r="U573" t="s">
        <v>33</v>
      </c>
    </row>
    <row r="574" spans="1:21">
      <c r="A574">
        <v>16</v>
      </c>
      <c r="B574" t="s">
        <v>34</v>
      </c>
      <c r="I574">
        <f t="shared" si="87"/>
        <v>0</v>
      </c>
      <c r="J574" t="s">
        <v>21</v>
      </c>
      <c r="L574">
        <v>16</v>
      </c>
      <c r="M574" t="s">
        <v>34</v>
      </c>
      <c r="T574">
        <f t="shared" si="88"/>
        <v>0</v>
      </c>
      <c r="U574" t="s">
        <v>21</v>
      </c>
    </row>
    <row r="575" spans="1:21">
      <c r="A575">
        <v>17</v>
      </c>
      <c r="B575" t="s">
        <v>35</v>
      </c>
      <c r="I575">
        <f t="shared" si="87"/>
        <v>0</v>
      </c>
      <c r="J575" t="s">
        <v>33</v>
      </c>
      <c r="L575">
        <v>17</v>
      </c>
      <c r="M575" t="s">
        <v>35</v>
      </c>
      <c r="T575">
        <f t="shared" si="88"/>
        <v>0</v>
      </c>
      <c r="U575" t="s">
        <v>33</v>
      </c>
    </row>
    <row r="576" spans="1:21">
      <c r="A576">
        <v>18</v>
      </c>
      <c r="B576" t="s">
        <v>36</v>
      </c>
      <c r="I576">
        <f t="shared" si="87"/>
        <v>0</v>
      </c>
      <c r="J576" t="s">
        <v>33</v>
      </c>
      <c r="L576">
        <v>18</v>
      </c>
      <c r="M576" t="s">
        <v>36</v>
      </c>
      <c r="T576">
        <f t="shared" si="88"/>
        <v>0</v>
      </c>
      <c r="U576" t="s">
        <v>33</v>
      </c>
    </row>
    <row r="577" spans="1:21">
      <c r="A577">
        <v>19</v>
      </c>
      <c r="B577" t="s">
        <v>37</v>
      </c>
      <c r="I577">
        <f>D577+E577+H577</f>
        <v>0</v>
      </c>
      <c r="L577">
        <v>19</v>
      </c>
      <c r="M577" t="s">
        <v>37</v>
      </c>
      <c r="T577">
        <f>O577+P577+S577</f>
        <v>0</v>
      </c>
    </row>
    <row r="578" spans="1:21">
      <c r="A578">
        <v>20</v>
      </c>
      <c r="B578" t="s">
        <v>38</v>
      </c>
      <c r="I578">
        <f t="shared" ref="I578" si="89">D578+E578+H578</f>
        <v>0</v>
      </c>
      <c r="J578" t="s">
        <v>19</v>
      </c>
      <c r="L578">
        <v>20</v>
      </c>
      <c r="M578" t="s">
        <v>38</v>
      </c>
      <c r="T578">
        <f t="shared" ref="T578" si="90">O578+P578+S578</f>
        <v>0</v>
      </c>
      <c r="U578" t="s">
        <v>19</v>
      </c>
    </row>
    <row r="579" spans="1:21">
      <c r="B579" t="s">
        <v>9</v>
      </c>
      <c r="D579">
        <f>D559+D560+D561+D562+D563+D564+D566+D565+D567+D568+D569+D570+D571+D572+D574+D576</f>
        <v>0</v>
      </c>
      <c r="E579">
        <f>SUM(E559:E578)</f>
        <v>0</v>
      </c>
      <c r="I579">
        <f>I559+I560+I561+I562+I563+I564+I565+I566+I567+I568+I569+I570+I571+I572+I573+I574+I575+I576+I577+I578</f>
        <v>368</v>
      </c>
      <c r="M579" t="s">
        <v>9</v>
      </c>
      <c r="O579">
        <f>O559+O560+O561+O562+O563+O564+O566+O565+O567+O568+O569+O570+O571+O572+O574+O576</f>
        <v>0</v>
      </c>
      <c r="P579">
        <f>SUM(P559:P578)</f>
        <v>0</v>
      </c>
      <c r="T579">
        <f>T559+T560+T561+T562+T563+T564+T565+T566+T567+T568+T569+T570+T571+T572+T573+T574+T575+T576+T577+T578</f>
        <v>368</v>
      </c>
    </row>
    <row r="582" spans="1:21">
      <c r="A582" t="s">
        <v>1</v>
      </c>
      <c r="B582" t="s">
        <v>2</v>
      </c>
      <c r="C582" t="s">
        <v>3</v>
      </c>
      <c r="D582" t="s">
        <v>4</v>
      </c>
      <c r="E582" t="s">
        <v>5</v>
      </c>
      <c r="F582" t="s">
        <v>6</v>
      </c>
      <c r="G582" t="s">
        <v>7</v>
      </c>
      <c r="H582" t="s">
        <v>8</v>
      </c>
      <c r="I582" t="s">
        <v>9</v>
      </c>
      <c r="J582" t="s">
        <v>10</v>
      </c>
      <c r="L582" t="s">
        <v>1</v>
      </c>
      <c r="M582" t="s">
        <v>2</v>
      </c>
      <c r="N582" t="s">
        <v>3</v>
      </c>
      <c r="O582" t="s">
        <v>4</v>
      </c>
      <c r="P582" t="s">
        <v>5</v>
      </c>
      <c r="Q582" t="s">
        <v>6</v>
      </c>
      <c r="R582" t="s">
        <v>7</v>
      </c>
      <c r="S582" t="s">
        <v>8</v>
      </c>
      <c r="T582" t="s">
        <v>9</v>
      </c>
      <c r="U582" t="s">
        <v>10</v>
      </c>
    </row>
    <row r="583" spans="1:21">
      <c r="A583">
        <v>1</v>
      </c>
      <c r="B583" t="s">
        <v>11</v>
      </c>
      <c r="C583" t="s">
        <v>62</v>
      </c>
      <c r="I583">
        <f>D583+E583+H583</f>
        <v>0</v>
      </c>
      <c r="J583" t="s">
        <v>12</v>
      </c>
      <c r="L583">
        <v>1</v>
      </c>
      <c r="M583" t="s">
        <v>11</v>
      </c>
      <c r="N583" t="s">
        <v>62</v>
      </c>
      <c r="T583">
        <f>O583+P583+S583</f>
        <v>0</v>
      </c>
      <c r="U583" t="s">
        <v>12</v>
      </c>
    </row>
    <row r="584" spans="1:21">
      <c r="A584">
        <v>2</v>
      </c>
      <c r="B584" t="s">
        <v>13</v>
      </c>
      <c r="I584">
        <f>D584+E584+H584</f>
        <v>0</v>
      </c>
      <c r="J584" t="s">
        <v>14</v>
      </c>
      <c r="L584">
        <v>2</v>
      </c>
      <c r="M584" t="s">
        <v>13</v>
      </c>
      <c r="T584">
        <f>O584+P584+S584</f>
        <v>0</v>
      </c>
      <c r="U584" t="s">
        <v>14</v>
      </c>
    </row>
    <row r="585" spans="1:21">
      <c r="A585">
        <v>3</v>
      </c>
      <c r="B585" t="s">
        <v>15</v>
      </c>
      <c r="I585">
        <f>SUM(D585,E585,H585)</f>
        <v>0</v>
      </c>
      <c r="J585" t="s">
        <v>16</v>
      </c>
      <c r="L585">
        <v>3</v>
      </c>
      <c r="M585" t="s">
        <v>15</v>
      </c>
      <c r="T585">
        <f>SUM(O585,P585,S585)</f>
        <v>0</v>
      </c>
      <c r="U585" t="s">
        <v>16</v>
      </c>
    </row>
    <row r="586" spans="1:21">
      <c r="A586">
        <v>4</v>
      </c>
      <c r="B586" t="s">
        <v>17</v>
      </c>
      <c r="I586">
        <v>368</v>
      </c>
      <c r="J586" t="s">
        <v>14</v>
      </c>
      <c r="L586">
        <v>4</v>
      </c>
      <c r="M586" t="s">
        <v>17</v>
      </c>
      <c r="T586">
        <v>368</v>
      </c>
      <c r="U586" t="s">
        <v>14</v>
      </c>
    </row>
    <row r="587" spans="1:21">
      <c r="A587">
        <v>5</v>
      </c>
      <c r="B587" t="s">
        <v>18</v>
      </c>
      <c r="I587">
        <f t="shared" ref="I587:I600" si="91">D587+E587+H587</f>
        <v>0</v>
      </c>
      <c r="J587" t="s">
        <v>19</v>
      </c>
      <c r="L587">
        <v>5</v>
      </c>
      <c r="M587" t="s">
        <v>18</v>
      </c>
      <c r="T587">
        <f t="shared" ref="T587:T600" si="92">O587+P587+S587</f>
        <v>0</v>
      </c>
      <c r="U587" t="s">
        <v>19</v>
      </c>
    </row>
    <row r="588" spans="1:21">
      <c r="A588">
        <v>6</v>
      </c>
      <c r="B588" t="s">
        <v>20</v>
      </c>
      <c r="I588">
        <f t="shared" si="91"/>
        <v>0</v>
      </c>
      <c r="J588" t="s">
        <v>21</v>
      </c>
      <c r="L588">
        <v>6</v>
      </c>
      <c r="M588" t="s">
        <v>20</v>
      </c>
      <c r="T588">
        <f t="shared" si="92"/>
        <v>0</v>
      </c>
      <c r="U588" t="s">
        <v>21</v>
      </c>
    </row>
    <row r="589" spans="1:21">
      <c r="A589">
        <v>7</v>
      </c>
      <c r="B589" t="s">
        <v>22</v>
      </c>
      <c r="I589">
        <f t="shared" si="91"/>
        <v>0</v>
      </c>
      <c r="J589" t="s">
        <v>14</v>
      </c>
      <c r="L589">
        <v>7</v>
      </c>
      <c r="M589" t="s">
        <v>22</v>
      </c>
      <c r="T589">
        <f t="shared" si="92"/>
        <v>0</v>
      </c>
      <c r="U589" t="s">
        <v>14</v>
      </c>
    </row>
    <row r="590" spans="1:21">
      <c r="A590">
        <v>8</v>
      </c>
      <c r="B590" t="s">
        <v>23</v>
      </c>
      <c r="I590">
        <f t="shared" si="91"/>
        <v>0</v>
      </c>
      <c r="J590" t="s">
        <v>12</v>
      </c>
      <c r="L590">
        <v>8</v>
      </c>
      <c r="M590" t="s">
        <v>23</v>
      </c>
      <c r="T590">
        <f t="shared" si="92"/>
        <v>0</v>
      </c>
      <c r="U590" t="s">
        <v>12</v>
      </c>
    </row>
    <row r="591" spans="1:21">
      <c r="A591">
        <v>9</v>
      </c>
      <c r="B591" t="s">
        <v>24</v>
      </c>
      <c r="I591">
        <f t="shared" si="91"/>
        <v>0</v>
      </c>
      <c r="J591" t="s">
        <v>25</v>
      </c>
      <c r="L591">
        <v>9</v>
      </c>
      <c r="M591" t="s">
        <v>24</v>
      </c>
      <c r="T591">
        <f t="shared" si="92"/>
        <v>0</v>
      </c>
      <c r="U591" t="s">
        <v>25</v>
      </c>
    </row>
    <row r="592" spans="1:21">
      <c r="A592">
        <v>10</v>
      </c>
      <c r="B592" t="s">
        <v>26</v>
      </c>
      <c r="I592">
        <f t="shared" si="91"/>
        <v>0</v>
      </c>
      <c r="J592" t="s">
        <v>16</v>
      </c>
      <c r="L592">
        <v>10</v>
      </c>
      <c r="M592" t="s">
        <v>26</v>
      </c>
      <c r="T592">
        <f t="shared" si="92"/>
        <v>0</v>
      </c>
      <c r="U592" t="s">
        <v>16</v>
      </c>
    </row>
    <row r="593" spans="1:22">
      <c r="A593">
        <v>11</v>
      </c>
      <c r="B593" t="s">
        <v>27</v>
      </c>
      <c r="I593">
        <f t="shared" si="91"/>
        <v>0</v>
      </c>
      <c r="J593" t="s">
        <v>19</v>
      </c>
      <c r="L593">
        <v>11</v>
      </c>
      <c r="M593" t="s">
        <v>27</v>
      </c>
      <c r="T593">
        <f t="shared" si="92"/>
        <v>0</v>
      </c>
      <c r="U593" t="s">
        <v>19</v>
      </c>
    </row>
    <row r="594" spans="1:22">
      <c r="A594">
        <v>12</v>
      </c>
      <c r="B594" t="s">
        <v>28</v>
      </c>
      <c r="I594">
        <f t="shared" si="91"/>
        <v>0</v>
      </c>
      <c r="J594" t="s">
        <v>25</v>
      </c>
      <c r="L594">
        <v>12</v>
      </c>
      <c r="M594" t="s">
        <v>28</v>
      </c>
      <c r="T594">
        <f t="shared" si="92"/>
        <v>0</v>
      </c>
      <c r="U594" t="s">
        <v>25</v>
      </c>
    </row>
    <row r="595" spans="1:22">
      <c r="A595">
        <v>13</v>
      </c>
      <c r="B595" t="s">
        <v>29</v>
      </c>
      <c r="I595">
        <f t="shared" si="91"/>
        <v>0</v>
      </c>
      <c r="J595" t="s">
        <v>30</v>
      </c>
      <c r="L595">
        <v>13</v>
      </c>
      <c r="M595" t="s">
        <v>29</v>
      </c>
      <c r="T595">
        <f t="shared" si="92"/>
        <v>0</v>
      </c>
      <c r="U595" t="s">
        <v>30</v>
      </c>
    </row>
    <row r="596" spans="1:22">
      <c r="A596">
        <v>14</v>
      </c>
      <c r="B596" t="s">
        <v>31</v>
      </c>
      <c r="I596">
        <f t="shared" si="91"/>
        <v>0</v>
      </c>
      <c r="J596" t="s">
        <v>12</v>
      </c>
      <c r="L596">
        <v>14</v>
      </c>
      <c r="M596" t="s">
        <v>31</v>
      </c>
      <c r="T596">
        <f t="shared" si="92"/>
        <v>0</v>
      </c>
      <c r="U596" t="s">
        <v>12</v>
      </c>
    </row>
    <row r="597" spans="1:22">
      <c r="A597">
        <v>15</v>
      </c>
      <c r="B597" t="s">
        <v>32</v>
      </c>
      <c r="I597">
        <f t="shared" si="91"/>
        <v>0</v>
      </c>
      <c r="J597" t="s">
        <v>33</v>
      </c>
      <c r="L597">
        <v>15</v>
      </c>
      <c r="M597" t="s">
        <v>32</v>
      </c>
      <c r="T597">
        <f t="shared" si="92"/>
        <v>0</v>
      </c>
      <c r="U597" t="s">
        <v>33</v>
      </c>
    </row>
    <row r="598" spans="1:22">
      <c r="A598">
        <v>16</v>
      </c>
      <c r="B598" t="s">
        <v>34</v>
      </c>
      <c r="I598">
        <f t="shared" si="91"/>
        <v>0</v>
      </c>
      <c r="J598" t="s">
        <v>21</v>
      </c>
      <c r="L598">
        <v>16</v>
      </c>
      <c r="M598" t="s">
        <v>34</v>
      </c>
      <c r="T598">
        <f t="shared" si="92"/>
        <v>0</v>
      </c>
      <c r="U598" t="s">
        <v>21</v>
      </c>
    </row>
    <row r="599" spans="1:22">
      <c r="A599">
        <v>17</v>
      </c>
      <c r="B599" t="s">
        <v>35</v>
      </c>
      <c r="I599">
        <f t="shared" si="91"/>
        <v>0</v>
      </c>
      <c r="J599" t="s">
        <v>33</v>
      </c>
      <c r="L599">
        <v>17</v>
      </c>
      <c r="M599" t="s">
        <v>35</v>
      </c>
      <c r="T599">
        <f t="shared" si="92"/>
        <v>0</v>
      </c>
      <c r="U599" t="s">
        <v>33</v>
      </c>
    </row>
    <row r="600" spans="1:22">
      <c r="A600">
        <v>18</v>
      </c>
      <c r="B600" t="s">
        <v>36</v>
      </c>
      <c r="I600">
        <f t="shared" si="91"/>
        <v>0</v>
      </c>
      <c r="J600" t="s">
        <v>33</v>
      </c>
      <c r="L600">
        <v>18</v>
      </c>
      <c r="M600" t="s">
        <v>36</v>
      </c>
      <c r="T600">
        <f t="shared" si="92"/>
        <v>0</v>
      </c>
      <c r="U600" t="s">
        <v>33</v>
      </c>
    </row>
    <row r="601" spans="1:22">
      <c r="A601">
        <v>19</v>
      </c>
      <c r="B601" t="s">
        <v>37</v>
      </c>
      <c r="I601">
        <f>D601+E601+H601</f>
        <v>0</v>
      </c>
      <c r="L601">
        <v>19</v>
      </c>
      <c r="M601" t="s">
        <v>37</v>
      </c>
      <c r="T601">
        <f>O601+P601+S601</f>
        <v>0</v>
      </c>
    </row>
    <row r="602" spans="1:22">
      <c r="A602">
        <v>20</v>
      </c>
      <c r="B602" t="s">
        <v>38</v>
      </c>
      <c r="I602">
        <f t="shared" ref="I602" si="93">D602+E602+H602</f>
        <v>0</v>
      </c>
      <c r="J602" t="s">
        <v>19</v>
      </c>
      <c r="L602">
        <v>20</v>
      </c>
      <c r="M602" t="s">
        <v>38</v>
      </c>
      <c r="T602">
        <f t="shared" ref="T602" si="94">O602+P602+S602</f>
        <v>0</v>
      </c>
      <c r="U602" t="s">
        <v>19</v>
      </c>
    </row>
    <row r="603" spans="1:22">
      <c r="B603" t="s">
        <v>9</v>
      </c>
      <c r="D603">
        <f>D583+D584+D585+D586+D587+D588+D590+D589+D591+D592+D593+D594+D595+D596+D598+D600</f>
        <v>0</v>
      </c>
      <c r="E603">
        <f>SUM(E583:E602)</f>
        <v>0</v>
      </c>
      <c r="I603">
        <f>I583+I584+I585+I586+I587+I588+I589+I590+I591+I592+I593+I594+I595+I596+I597+I598+I599+I600+I601+I602</f>
        <v>368</v>
      </c>
      <c r="M603" t="s">
        <v>9</v>
      </c>
      <c r="O603">
        <f>O583+O584+O585+O586+O587+O588+O590+O589+O591+O592+O593+O594+O595+O596+O598+O600</f>
        <v>0</v>
      </c>
      <c r="P603">
        <f>SUM(P583:P602)</f>
        <v>0</v>
      </c>
      <c r="T603">
        <f>T583+T584+T585+T586+T587+T588+T589+T590+T591+T592+T593+T594+T595+T596+T597+T598+T599+T600+T601+T602</f>
        <v>368</v>
      </c>
    </row>
    <row r="605" spans="1:22">
      <c r="A605" t="s">
        <v>1</v>
      </c>
      <c r="B605" t="s">
        <v>2</v>
      </c>
      <c r="C605" t="s">
        <v>3</v>
      </c>
      <c r="D605" t="s">
        <v>4</v>
      </c>
      <c r="E605" t="s">
        <v>5</v>
      </c>
      <c r="F605" t="s">
        <v>6</v>
      </c>
      <c r="G605" t="s">
        <v>7</v>
      </c>
      <c r="H605" t="s">
        <v>8</v>
      </c>
      <c r="I605" t="s">
        <v>9</v>
      </c>
      <c r="J605" t="s">
        <v>10</v>
      </c>
      <c r="M605" t="s">
        <v>1</v>
      </c>
      <c r="N605" t="s">
        <v>2</v>
      </c>
      <c r="O605" t="s">
        <v>3</v>
      </c>
      <c r="P605" t="s">
        <v>4</v>
      </c>
      <c r="Q605" t="s">
        <v>5</v>
      </c>
      <c r="R605" t="s">
        <v>6</v>
      </c>
      <c r="S605" t="s">
        <v>7</v>
      </c>
      <c r="T605" t="s">
        <v>8</v>
      </c>
      <c r="U605" t="s">
        <v>9</v>
      </c>
      <c r="V605" t="s">
        <v>10</v>
      </c>
    </row>
    <row r="606" spans="1:22">
      <c r="A606">
        <v>1</v>
      </c>
      <c r="B606" t="s">
        <v>11</v>
      </c>
      <c r="C606" t="s">
        <v>62</v>
      </c>
      <c r="I606">
        <f>D606+E606+H606</f>
        <v>0</v>
      </c>
      <c r="J606" t="s">
        <v>12</v>
      </c>
      <c r="M606">
        <v>1</v>
      </c>
      <c r="N606" t="s">
        <v>11</v>
      </c>
      <c r="O606" t="s">
        <v>62</v>
      </c>
      <c r="U606">
        <f>P606+Q606+T606</f>
        <v>0</v>
      </c>
      <c r="V606" t="s">
        <v>12</v>
      </c>
    </row>
    <row r="607" spans="1:22">
      <c r="A607">
        <v>2</v>
      </c>
      <c r="B607" t="s">
        <v>13</v>
      </c>
      <c r="I607">
        <f>D607+E607+H607</f>
        <v>0</v>
      </c>
      <c r="J607" t="s">
        <v>14</v>
      </c>
      <c r="M607">
        <v>2</v>
      </c>
      <c r="N607" t="s">
        <v>13</v>
      </c>
      <c r="U607">
        <f>P607+Q607+T607</f>
        <v>0</v>
      </c>
      <c r="V607" t="s">
        <v>14</v>
      </c>
    </row>
    <row r="608" spans="1:22">
      <c r="A608">
        <v>3</v>
      </c>
      <c r="B608" t="s">
        <v>15</v>
      </c>
      <c r="I608">
        <f>SUM(D608,E608,H608)</f>
        <v>0</v>
      </c>
      <c r="J608" t="s">
        <v>16</v>
      </c>
      <c r="M608">
        <v>3</v>
      </c>
      <c r="N608" t="s">
        <v>15</v>
      </c>
      <c r="U608">
        <f>SUM(P608,Q608,T608)</f>
        <v>0</v>
      </c>
      <c r="V608" t="s">
        <v>16</v>
      </c>
    </row>
    <row r="609" spans="1:22">
      <c r="A609">
        <v>4</v>
      </c>
      <c r="B609" t="s">
        <v>17</v>
      </c>
      <c r="I609">
        <v>368</v>
      </c>
      <c r="J609" t="s">
        <v>14</v>
      </c>
      <c r="M609">
        <v>4</v>
      </c>
      <c r="N609" t="s">
        <v>17</v>
      </c>
      <c r="U609">
        <v>368</v>
      </c>
      <c r="V609" t="s">
        <v>14</v>
      </c>
    </row>
    <row r="610" spans="1:22">
      <c r="A610">
        <v>5</v>
      </c>
      <c r="B610" t="s">
        <v>18</v>
      </c>
      <c r="I610">
        <f t="shared" ref="I610:I623" si="95">D610+E610+H610</f>
        <v>0</v>
      </c>
      <c r="J610" t="s">
        <v>19</v>
      </c>
      <c r="M610">
        <v>5</v>
      </c>
      <c r="N610" t="s">
        <v>18</v>
      </c>
      <c r="U610">
        <f t="shared" ref="U610:U623" si="96">P610+Q610+T610</f>
        <v>0</v>
      </c>
      <c r="V610" t="s">
        <v>19</v>
      </c>
    </row>
    <row r="611" spans="1:22">
      <c r="A611">
        <v>6</v>
      </c>
      <c r="B611" t="s">
        <v>20</v>
      </c>
      <c r="I611">
        <f t="shared" si="95"/>
        <v>0</v>
      </c>
      <c r="J611" t="s">
        <v>21</v>
      </c>
      <c r="M611">
        <v>6</v>
      </c>
      <c r="N611" t="s">
        <v>20</v>
      </c>
      <c r="U611">
        <f t="shared" si="96"/>
        <v>0</v>
      </c>
      <c r="V611" t="s">
        <v>21</v>
      </c>
    </row>
    <row r="612" spans="1:22">
      <c r="A612">
        <v>7</v>
      </c>
      <c r="B612" t="s">
        <v>22</v>
      </c>
      <c r="I612">
        <f t="shared" si="95"/>
        <v>0</v>
      </c>
      <c r="J612" t="s">
        <v>14</v>
      </c>
      <c r="M612">
        <v>7</v>
      </c>
      <c r="N612" t="s">
        <v>22</v>
      </c>
      <c r="U612">
        <f t="shared" si="96"/>
        <v>0</v>
      </c>
      <c r="V612" t="s">
        <v>14</v>
      </c>
    </row>
    <row r="613" spans="1:22">
      <c r="A613">
        <v>8</v>
      </c>
      <c r="B613" t="s">
        <v>23</v>
      </c>
      <c r="I613">
        <f t="shared" si="95"/>
        <v>0</v>
      </c>
      <c r="J613" t="s">
        <v>12</v>
      </c>
      <c r="M613">
        <v>8</v>
      </c>
      <c r="N613" t="s">
        <v>23</v>
      </c>
      <c r="U613">
        <f t="shared" si="96"/>
        <v>0</v>
      </c>
      <c r="V613" t="s">
        <v>12</v>
      </c>
    </row>
    <row r="614" spans="1:22">
      <c r="A614">
        <v>9</v>
      </c>
      <c r="B614" t="s">
        <v>24</v>
      </c>
      <c r="I614">
        <f t="shared" si="95"/>
        <v>0</v>
      </c>
      <c r="J614" t="s">
        <v>25</v>
      </c>
      <c r="M614">
        <v>9</v>
      </c>
      <c r="N614" t="s">
        <v>24</v>
      </c>
      <c r="U614">
        <f t="shared" si="96"/>
        <v>0</v>
      </c>
      <c r="V614" t="s">
        <v>25</v>
      </c>
    </row>
    <row r="615" spans="1:22">
      <c r="A615">
        <v>10</v>
      </c>
      <c r="B615" t="s">
        <v>26</v>
      </c>
      <c r="I615">
        <f t="shared" si="95"/>
        <v>0</v>
      </c>
      <c r="J615" t="s">
        <v>16</v>
      </c>
      <c r="M615">
        <v>10</v>
      </c>
      <c r="N615" t="s">
        <v>26</v>
      </c>
      <c r="U615">
        <f t="shared" si="96"/>
        <v>0</v>
      </c>
      <c r="V615" t="s">
        <v>16</v>
      </c>
    </row>
    <row r="616" spans="1:22">
      <c r="A616">
        <v>11</v>
      </c>
      <c r="B616" t="s">
        <v>27</v>
      </c>
      <c r="I616">
        <f t="shared" si="95"/>
        <v>0</v>
      </c>
      <c r="J616" t="s">
        <v>19</v>
      </c>
      <c r="M616">
        <v>11</v>
      </c>
      <c r="N616" t="s">
        <v>27</v>
      </c>
      <c r="U616">
        <f t="shared" si="96"/>
        <v>0</v>
      </c>
      <c r="V616" t="s">
        <v>19</v>
      </c>
    </row>
    <row r="617" spans="1:22">
      <c r="A617">
        <v>12</v>
      </c>
      <c r="B617" t="s">
        <v>28</v>
      </c>
      <c r="I617">
        <f t="shared" si="95"/>
        <v>0</v>
      </c>
      <c r="J617" t="s">
        <v>25</v>
      </c>
      <c r="M617">
        <v>12</v>
      </c>
      <c r="N617" t="s">
        <v>28</v>
      </c>
      <c r="U617">
        <f t="shared" si="96"/>
        <v>0</v>
      </c>
      <c r="V617" t="s">
        <v>25</v>
      </c>
    </row>
    <row r="618" spans="1:22">
      <c r="A618">
        <v>13</v>
      </c>
      <c r="B618" t="s">
        <v>29</v>
      </c>
      <c r="I618">
        <f t="shared" si="95"/>
        <v>0</v>
      </c>
      <c r="J618" t="s">
        <v>30</v>
      </c>
      <c r="M618">
        <v>13</v>
      </c>
      <c r="N618" t="s">
        <v>29</v>
      </c>
      <c r="U618">
        <f t="shared" si="96"/>
        <v>0</v>
      </c>
      <c r="V618" t="s">
        <v>30</v>
      </c>
    </row>
    <row r="619" spans="1:22">
      <c r="A619">
        <v>14</v>
      </c>
      <c r="B619" t="s">
        <v>31</v>
      </c>
      <c r="I619">
        <f t="shared" si="95"/>
        <v>0</v>
      </c>
      <c r="J619" t="s">
        <v>12</v>
      </c>
      <c r="M619">
        <v>14</v>
      </c>
      <c r="N619" t="s">
        <v>31</v>
      </c>
      <c r="U619">
        <f t="shared" si="96"/>
        <v>0</v>
      </c>
      <c r="V619" t="s">
        <v>12</v>
      </c>
    </row>
    <row r="620" spans="1:22">
      <c r="A620">
        <v>15</v>
      </c>
      <c r="B620" t="s">
        <v>32</v>
      </c>
      <c r="I620">
        <f t="shared" si="95"/>
        <v>0</v>
      </c>
      <c r="J620" t="s">
        <v>33</v>
      </c>
      <c r="M620">
        <v>15</v>
      </c>
      <c r="N620" t="s">
        <v>32</v>
      </c>
      <c r="U620">
        <f t="shared" si="96"/>
        <v>0</v>
      </c>
      <c r="V620" t="s">
        <v>33</v>
      </c>
    </row>
    <row r="621" spans="1:22">
      <c r="A621">
        <v>16</v>
      </c>
      <c r="B621" t="s">
        <v>34</v>
      </c>
      <c r="I621">
        <f t="shared" si="95"/>
        <v>0</v>
      </c>
      <c r="J621" t="s">
        <v>21</v>
      </c>
      <c r="M621">
        <v>16</v>
      </c>
      <c r="N621" t="s">
        <v>34</v>
      </c>
      <c r="U621">
        <f t="shared" si="96"/>
        <v>0</v>
      </c>
      <c r="V621" t="s">
        <v>21</v>
      </c>
    </row>
    <row r="622" spans="1:22">
      <c r="A622">
        <v>17</v>
      </c>
      <c r="B622" t="s">
        <v>35</v>
      </c>
      <c r="I622">
        <f t="shared" si="95"/>
        <v>0</v>
      </c>
      <c r="J622" t="s">
        <v>33</v>
      </c>
      <c r="M622">
        <v>17</v>
      </c>
      <c r="N622" t="s">
        <v>35</v>
      </c>
      <c r="U622">
        <f t="shared" si="96"/>
        <v>0</v>
      </c>
      <c r="V622" t="s">
        <v>33</v>
      </c>
    </row>
    <row r="623" spans="1:22">
      <c r="A623">
        <v>18</v>
      </c>
      <c r="B623" t="s">
        <v>36</v>
      </c>
      <c r="I623">
        <f t="shared" si="95"/>
        <v>0</v>
      </c>
      <c r="J623" t="s">
        <v>33</v>
      </c>
      <c r="M623">
        <v>18</v>
      </c>
      <c r="N623" t="s">
        <v>36</v>
      </c>
      <c r="U623">
        <f t="shared" si="96"/>
        <v>0</v>
      </c>
      <c r="V623" t="s">
        <v>33</v>
      </c>
    </row>
    <row r="624" spans="1:22">
      <c r="A624">
        <v>19</v>
      </c>
      <c r="B624" t="s">
        <v>37</v>
      </c>
      <c r="I624">
        <f>D624+E624+H624</f>
        <v>0</v>
      </c>
      <c r="M624">
        <v>19</v>
      </c>
      <c r="N624" t="s">
        <v>37</v>
      </c>
      <c r="U624">
        <f>P624+Q624+T624</f>
        <v>0</v>
      </c>
    </row>
    <row r="625" spans="1:22">
      <c r="A625">
        <v>20</v>
      </c>
      <c r="B625" t="s">
        <v>38</v>
      </c>
      <c r="I625">
        <f t="shared" ref="I625" si="97">D625+E625+H625</f>
        <v>0</v>
      </c>
      <c r="J625" t="s">
        <v>19</v>
      </c>
      <c r="M625">
        <v>20</v>
      </c>
      <c r="N625" t="s">
        <v>38</v>
      </c>
      <c r="U625">
        <f t="shared" ref="U625" si="98">P625+Q625+T625</f>
        <v>0</v>
      </c>
      <c r="V625" t="s">
        <v>19</v>
      </c>
    </row>
    <row r="626" spans="1:22">
      <c r="B626" t="s">
        <v>9</v>
      </c>
      <c r="D626">
        <f>D606+D607+D608+D609+D610+D611+D613+D612+D614+D615+D616+D617+D618+D619+D621+D623</f>
        <v>0</v>
      </c>
      <c r="E626">
        <f>SUM(E606:E625)</f>
        <v>0</v>
      </c>
      <c r="I626">
        <f>I606+I607+I608+I609+I610+I611+I612+I613+I614+I615+I616+I617+I618+I619+I620+I621+I622+I623+I624+I625</f>
        <v>368</v>
      </c>
      <c r="N626" t="s">
        <v>9</v>
      </c>
      <c r="P626">
        <f>P606+P607+P608+P609+P610+P611+P613+P612+P614+P615+P616+P617+P618+P619+P621+P623</f>
        <v>0</v>
      </c>
      <c r="Q626">
        <f>SUM(Q606:Q625)</f>
        <v>0</v>
      </c>
      <c r="U626">
        <f>U606+U607+U608+U609+U610+U611+U612+U613+U614+U615+U616+U617+U618+U619+U620+U621+U622+U623+U624+U625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2025-07-04T06:13:35Z</dcterms:created>
  <dcterms:modified xsi:type="dcterms:W3CDTF">2025-08-13T15:50:10Z</dcterms:modified>
</cp:coreProperties>
</file>