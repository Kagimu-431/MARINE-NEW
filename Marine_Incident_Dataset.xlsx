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pivotCache/pivotCacheRecords3.xml" ContentType="application/vnd.openxmlformats-officedocument.spreadsheetml.pivotCacheRecords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5" windowWidth="14295" windowHeight="4890" firstSheet="1" activeTab="1"/>
  </bookViews>
  <sheets>
    <sheet name="Sheet9" sheetId="9" r:id="rId1"/>
    <sheet name="Sheet1" sheetId="1" r:id="rId2"/>
    <sheet name="Sheet5" sheetId="13" r:id="rId3"/>
    <sheet name="Sheet6" sheetId="14" r:id="rId4"/>
    <sheet name="Sheet3" sheetId="11" r:id="rId5"/>
  </sheets>
  <definedNames>
    <definedName name="_xlnm._FilterDatabase" localSheetId="1" hidden="1">Sheet1!$A$2:$T$128</definedName>
  </definedNames>
  <calcPr calcId="124519"/>
  <pivotCaches>
    <pivotCache cacheId="2" r:id="rId6"/>
    <pivotCache cacheId="14" r:id="rId7"/>
    <pivotCache cacheId="19" r:id="rId8"/>
  </pivotCaches>
</workbook>
</file>

<file path=xl/calcChain.xml><?xml version="1.0" encoding="utf-8"?>
<calcChain xmlns="http://schemas.openxmlformats.org/spreadsheetml/2006/main">
  <c r="P153" i="1"/>
  <c r="O153"/>
  <c r="N153"/>
  <c r="M153"/>
  <c r="F11" i="9"/>
  <c r="F9"/>
  <c r="C13"/>
  <c r="C4"/>
</calcChain>
</file>

<file path=xl/sharedStrings.xml><?xml version="1.0" encoding="utf-8"?>
<sst xmlns="http://schemas.openxmlformats.org/spreadsheetml/2006/main" count="1471" uniqueCount="430">
  <si>
    <t>Date of occurrence</t>
  </si>
  <si>
    <t>Date of reporting</t>
  </si>
  <si>
    <t>Time of occurrence</t>
  </si>
  <si>
    <t>Drowning</t>
  </si>
  <si>
    <t>Water body</t>
  </si>
  <si>
    <t>Zone</t>
  </si>
  <si>
    <t>Zengebe</t>
  </si>
  <si>
    <t>Fishing</t>
  </si>
  <si>
    <t>05/10/01/25</t>
  </si>
  <si>
    <t>Nkose</t>
  </si>
  <si>
    <t>suicide</t>
  </si>
  <si>
    <t>04/11/01/25</t>
  </si>
  <si>
    <t>Victoria south</t>
  </si>
  <si>
    <t>Kyoga</t>
  </si>
  <si>
    <t>Kawongo</t>
  </si>
  <si>
    <t>11/24/01/25</t>
  </si>
  <si>
    <t>Attempted murder</t>
  </si>
  <si>
    <t>Evading arrest</t>
  </si>
  <si>
    <t>illegal fishing</t>
  </si>
  <si>
    <t>13/02/02/25</t>
  </si>
  <si>
    <t>Kyeserwa</t>
  </si>
  <si>
    <t>unknown</t>
  </si>
  <si>
    <t>05/03/02/25</t>
  </si>
  <si>
    <t>Kakyungwa police post</t>
  </si>
  <si>
    <t>Fatal Accident</t>
  </si>
  <si>
    <t>unkown</t>
  </si>
  <si>
    <t>Victoria southwest</t>
  </si>
  <si>
    <t>Kasenyi</t>
  </si>
  <si>
    <t>accident</t>
  </si>
  <si>
    <t>19/05/02/25</t>
  </si>
  <si>
    <t>Kasenyi police post</t>
  </si>
  <si>
    <t>L.Victoria</t>
  </si>
  <si>
    <t>Sebagoro</t>
  </si>
  <si>
    <t>Albertine</t>
  </si>
  <si>
    <t>L.Albert</t>
  </si>
  <si>
    <t xml:space="preserve">Boat,engine, 60 nets </t>
  </si>
  <si>
    <t xml:space="preserve">Theft </t>
  </si>
  <si>
    <t>outright ciminality</t>
  </si>
  <si>
    <t>Lwanabatya</t>
  </si>
  <si>
    <t>Kalangala</t>
  </si>
  <si>
    <t>Kasanda</t>
  </si>
  <si>
    <t>L.Wamala</t>
  </si>
  <si>
    <t>Rwenzori</t>
  </si>
  <si>
    <t>16/08/02/25</t>
  </si>
  <si>
    <t>Aggravated Robbery</t>
  </si>
  <si>
    <t>Aggravated Robbery and Murder</t>
  </si>
  <si>
    <t>Fish worth 150kgs</t>
  </si>
  <si>
    <t>14/12/02/25</t>
  </si>
  <si>
    <t>Kalangala CPS</t>
  </si>
  <si>
    <t>08/26/02/25</t>
  </si>
  <si>
    <t>Victoria northeast</t>
  </si>
  <si>
    <t>Luwero</t>
  </si>
  <si>
    <t xml:space="preserve">Aggravated Robbery </t>
  </si>
  <si>
    <t>Maungwe</t>
  </si>
  <si>
    <t>04/28/02/25</t>
  </si>
  <si>
    <t>Liibu police post</t>
  </si>
  <si>
    <t>solar battery and fishing gear</t>
  </si>
  <si>
    <t>Aggravated robbery</t>
  </si>
  <si>
    <t>Fishing gears</t>
  </si>
  <si>
    <t>06/28/02/25</t>
  </si>
  <si>
    <t>Robbery</t>
  </si>
  <si>
    <t>kamanda Gunga</t>
  </si>
  <si>
    <t>04/03/03/25</t>
  </si>
  <si>
    <t>Nkose Marine police</t>
  </si>
  <si>
    <t>Engine Yamaha 15HP</t>
  </si>
  <si>
    <t>Nkose katooke</t>
  </si>
  <si>
    <t>07/04/03/25</t>
  </si>
  <si>
    <t>05/09/03/25</t>
  </si>
  <si>
    <t>L.Kyoga</t>
  </si>
  <si>
    <t>14/17/03/25</t>
  </si>
  <si>
    <t>outboard engine yamaha hp 15</t>
  </si>
  <si>
    <t>06/14/03/25</t>
  </si>
  <si>
    <t>Lyabana police post</t>
  </si>
  <si>
    <t>Boat capsizing</t>
  </si>
  <si>
    <t>Victoria north</t>
  </si>
  <si>
    <t>boat capsizing due to bad weather</t>
  </si>
  <si>
    <t>in transit</t>
  </si>
  <si>
    <t>timber</t>
  </si>
  <si>
    <t>02/26/03/25</t>
  </si>
  <si>
    <t>Gaba detach</t>
  </si>
  <si>
    <t>Lugumba</t>
  </si>
  <si>
    <t>04/31/03/25</t>
  </si>
  <si>
    <t>Lugumba detach</t>
  </si>
  <si>
    <t>Rwetale</t>
  </si>
  <si>
    <t>outboard engine yamaha 9.9</t>
  </si>
  <si>
    <t>05/05/04/25</t>
  </si>
  <si>
    <t>Detach</t>
  </si>
  <si>
    <t>misonzi</t>
  </si>
  <si>
    <t>Samba</t>
  </si>
  <si>
    <t>Gaba</t>
  </si>
  <si>
    <t xml:space="preserve"> buzindere</t>
  </si>
  <si>
    <t xml:space="preserve"> Rwetale</t>
  </si>
  <si>
    <t>10/01/04/25</t>
  </si>
  <si>
    <t>R.Mayanja</t>
  </si>
  <si>
    <t>Kalege semuto</t>
  </si>
  <si>
    <t>Riding</t>
  </si>
  <si>
    <t>17/01/04/25</t>
  </si>
  <si>
    <t>Kigo marine police</t>
  </si>
  <si>
    <t>07/05/04/25</t>
  </si>
  <si>
    <t>Bosa</t>
  </si>
  <si>
    <t>Nkondo</t>
  </si>
  <si>
    <t xml:space="preserve"> Kabaale</t>
  </si>
  <si>
    <t>08/10/04/25</t>
  </si>
  <si>
    <t>Sebagoro marine police</t>
  </si>
  <si>
    <t>Murder</t>
  </si>
  <si>
    <t>Namasale</t>
  </si>
  <si>
    <t>Single deployment</t>
  </si>
  <si>
    <t>05/11/04/25</t>
  </si>
  <si>
    <t>Namasale police staion</t>
  </si>
  <si>
    <t>Butiaba</t>
  </si>
  <si>
    <t>Hippopotamus killing</t>
  </si>
  <si>
    <t>Victoria southeast</t>
  </si>
  <si>
    <t>Lolwe</t>
  </si>
  <si>
    <t>Hippopotamus</t>
  </si>
  <si>
    <t>Liibu</t>
  </si>
  <si>
    <t>Bathing at the shore</t>
  </si>
  <si>
    <t>07/17/04/25</t>
  </si>
  <si>
    <t>Crocodile killing</t>
  </si>
  <si>
    <t>Karwe</t>
  </si>
  <si>
    <t>L.Edward</t>
  </si>
  <si>
    <t>Katwe kabatooro</t>
  </si>
  <si>
    <t>fishing on foot</t>
  </si>
  <si>
    <t>07/18/04/25</t>
  </si>
  <si>
    <t>Buku</t>
  </si>
  <si>
    <t>08/18/04/25</t>
  </si>
  <si>
    <t>Gulwe police station</t>
  </si>
  <si>
    <t>Paradise</t>
  </si>
  <si>
    <t>Human error</t>
  </si>
  <si>
    <t>10/18/04/25</t>
  </si>
  <si>
    <t>Marine base kigo</t>
  </si>
  <si>
    <t>Bugaya</t>
  </si>
  <si>
    <t>Worker's plot</t>
  </si>
  <si>
    <t>11 fishing nets</t>
  </si>
  <si>
    <t>07/26/04/25</t>
  </si>
  <si>
    <t>07/28/04/25</t>
  </si>
  <si>
    <t>Zengebe detach</t>
  </si>
  <si>
    <t>Lugala</t>
  </si>
  <si>
    <t xml:space="preserve">outboard engine </t>
  </si>
  <si>
    <t>240000ksh</t>
  </si>
  <si>
    <t>03/29/04/25</t>
  </si>
  <si>
    <t>Lugala detach</t>
  </si>
  <si>
    <t>Victoria east</t>
  </si>
  <si>
    <t>Bwondha</t>
  </si>
  <si>
    <t>Mayuge</t>
  </si>
  <si>
    <t>Floods of lake victoria</t>
  </si>
  <si>
    <t>Bujje</t>
  </si>
  <si>
    <t>06/03/05/25</t>
  </si>
  <si>
    <t>Lyabana police station</t>
  </si>
  <si>
    <t>outboard engine yamaha hp 9.9</t>
  </si>
  <si>
    <t>05/09/05/25</t>
  </si>
  <si>
    <t>Samba marine detach</t>
  </si>
  <si>
    <t>Lwampanga</t>
  </si>
  <si>
    <t>CRB 28/2025</t>
  </si>
  <si>
    <t>Lwampanga police</t>
  </si>
  <si>
    <t>Kabaka's lake</t>
  </si>
  <si>
    <t>outboard engine yamaha hp 15,20kgs of nile perch</t>
  </si>
  <si>
    <t>Abduction</t>
  </si>
  <si>
    <t>Panyimur</t>
  </si>
  <si>
    <t>12/13/05/25</t>
  </si>
  <si>
    <t>Panyimur police station</t>
  </si>
  <si>
    <t>4/16/05/25</t>
  </si>
  <si>
    <t>Sebagoro police station</t>
  </si>
  <si>
    <t>29/2025</t>
  </si>
  <si>
    <t>03/20/05/25</t>
  </si>
  <si>
    <t>Namugombe</t>
  </si>
  <si>
    <t>fishing nets</t>
  </si>
  <si>
    <t>05/31/05/25</t>
  </si>
  <si>
    <t>Namugombe detach</t>
  </si>
  <si>
    <t>Katosi</t>
  </si>
  <si>
    <t>08/01/06/25</t>
  </si>
  <si>
    <t>Katosi police station</t>
  </si>
  <si>
    <t>05/15/06/25</t>
  </si>
  <si>
    <t>Boat breakdown</t>
  </si>
  <si>
    <t>net entergolled the propeller</t>
  </si>
  <si>
    <t>03/15/06/25</t>
  </si>
  <si>
    <t>Nkose police station</t>
  </si>
  <si>
    <t>Kasensero</t>
  </si>
  <si>
    <t>2/21/06/25</t>
  </si>
  <si>
    <t>Kasensero police station</t>
  </si>
  <si>
    <t>Ziiru</t>
  </si>
  <si>
    <t>02/21/06/25</t>
  </si>
  <si>
    <t>1 outboard engine, 1 silver fishnet, 2 solar batteries,6 bulbs,lifejacket,mphone</t>
  </si>
  <si>
    <t>Lubya</t>
  </si>
  <si>
    <t>5/25/06/25</t>
  </si>
  <si>
    <t>Lubya police station</t>
  </si>
  <si>
    <t>5/30/06//25</t>
  </si>
  <si>
    <t>08/07/07/25</t>
  </si>
  <si>
    <t>12/07/07/25</t>
  </si>
  <si>
    <t>Butiaba marine</t>
  </si>
  <si>
    <t>night</t>
  </si>
  <si>
    <t>Buliisa</t>
  </si>
  <si>
    <t>Lyabana</t>
  </si>
  <si>
    <t>N/A</t>
  </si>
  <si>
    <t>outboard engine</t>
  </si>
  <si>
    <t>05/13/07/25</t>
  </si>
  <si>
    <t>22/11/07/25</t>
  </si>
  <si>
    <t>05/20/07/25</t>
  </si>
  <si>
    <t>Nkose police post</t>
  </si>
  <si>
    <t>Bukungu</t>
  </si>
  <si>
    <t>09/20/07/25</t>
  </si>
  <si>
    <t>Bukungu police station</t>
  </si>
  <si>
    <t>05/26/07/25</t>
  </si>
  <si>
    <t>06/26/07/25</t>
  </si>
  <si>
    <t>Kigo police marine</t>
  </si>
  <si>
    <t>Buloba/Mityana Road</t>
  </si>
  <si>
    <t>None</t>
  </si>
  <si>
    <t>04/30/07/25</t>
  </si>
  <si>
    <t>Bukungu marine police</t>
  </si>
  <si>
    <t>Engine failure</t>
  </si>
  <si>
    <t>R.Nile</t>
  </si>
  <si>
    <t>Jinja</t>
  </si>
  <si>
    <t>near old railway bridge</t>
  </si>
  <si>
    <t>Touring</t>
  </si>
  <si>
    <t>05/31/07/25</t>
  </si>
  <si>
    <t>07/03/08/25</t>
  </si>
  <si>
    <t xml:space="preserve">Kisenyi muwama </t>
  </si>
  <si>
    <t>BVM GEF OO7/2025</t>
  </si>
  <si>
    <t>MARINE INCIDENT REPORTS</t>
  </si>
  <si>
    <t>INCIDENT</t>
  </si>
  <si>
    <t>05/07/08/25</t>
  </si>
  <si>
    <t>Gaba police station</t>
  </si>
  <si>
    <t>Misoli</t>
  </si>
  <si>
    <t>07/07/08/25</t>
  </si>
  <si>
    <t>Buku police marines</t>
  </si>
  <si>
    <t>man overboard</t>
  </si>
  <si>
    <t>Boat arson</t>
  </si>
  <si>
    <t>Lake side resort Ruwanga</t>
  </si>
  <si>
    <t>Newbuild</t>
  </si>
  <si>
    <t>Boat under construction</t>
  </si>
  <si>
    <t>04/08/08/25</t>
  </si>
  <si>
    <t>Mpata police station</t>
  </si>
  <si>
    <t>Escaped</t>
  </si>
  <si>
    <t>03/08/08/25</t>
  </si>
  <si>
    <t xml:space="preserve">Samba marine police </t>
  </si>
  <si>
    <t>Masese</t>
  </si>
  <si>
    <t>entry into deep waters by non-swimmer</t>
  </si>
  <si>
    <t>16/09/08/25</t>
  </si>
  <si>
    <t>Masese police station</t>
  </si>
  <si>
    <t>Isimba dam</t>
  </si>
  <si>
    <t>12/10/08/25</t>
  </si>
  <si>
    <t>R.Muzizi</t>
  </si>
  <si>
    <t>kyaterekera</t>
  </si>
  <si>
    <t>Crossing the river</t>
  </si>
  <si>
    <t>kisinsi</t>
  </si>
  <si>
    <t>Gaba marine detachment</t>
  </si>
  <si>
    <t>operator inattention due to mobile phone</t>
  </si>
  <si>
    <t>Grand Total</t>
  </si>
  <si>
    <t>Count of INCIDENT</t>
  </si>
  <si>
    <t>06/24/08/2025</t>
  </si>
  <si>
    <t>Between angumu and kayonga landing site</t>
  </si>
  <si>
    <t>Kasese</t>
  </si>
  <si>
    <t>kasese</t>
  </si>
  <si>
    <t>Sigulu</t>
  </si>
  <si>
    <t>R.Zoiya</t>
  </si>
  <si>
    <t>sigulu-maninga</t>
  </si>
  <si>
    <t>none</t>
  </si>
  <si>
    <t>Man made</t>
  </si>
  <si>
    <t>11/04/09/25</t>
  </si>
  <si>
    <t>Sembabule</t>
  </si>
  <si>
    <t>Stranding</t>
  </si>
  <si>
    <t>Inability to swim</t>
  </si>
  <si>
    <t>Swimming</t>
  </si>
  <si>
    <t>Entebbe</t>
  </si>
  <si>
    <t>Kachanga</t>
  </si>
  <si>
    <t>Place of occurrence</t>
  </si>
  <si>
    <t>Primary Cause of Incident</t>
  </si>
  <si>
    <t>Activity before the Incident</t>
  </si>
  <si>
    <t>Number of Crews</t>
  </si>
  <si>
    <t>number of fatalities</t>
  </si>
  <si>
    <t>number of persons rescued</t>
  </si>
  <si>
    <t>number of body retrievals</t>
  </si>
  <si>
    <t>Property lost/damaged </t>
  </si>
  <si>
    <t>Value of property lost/damaged</t>
  </si>
  <si>
    <t>SDREF/Police station</t>
  </si>
  <si>
    <t>Action taken</t>
  </si>
  <si>
    <t>Timestamp</t>
  </si>
  <si>
    <t>Katooke</t>
  </si>
  <si>
    <t>03/16/9/25</t>
  </si>
  <si>
    <t>R.Rwambabya</t>
  </si>
  <si>
    <t>Kiryanga</t>
  </si>
  <si>
    <t>striking with object</t>
  </si>
  <si>
    <t>63/2025</t>
  </si>
  <si>
    <t>Amolatar CPS</t>
  </si>
  <si>
    <t>Isingiri</t>
  </si>
  <si>
    <t>07/19/9/25</t>
  </si>
  <si>
    <t>Lyabana police</t>
  </si>
  <si>
    <t>Row Labels</t>
  </si>
  <si>
    <t>percentage</t>
  </si>
  <si>
    <t>5*100/91</t>
  </si>
  <si>
    <t>Kitebile</t>
  </si>
  <si>
    <t>NFO island</t>
  </si>
  <si>
    <t>heavy tides</t>
  </si>
  <si>
    <t>21/25/09/25</t>
  </si>
  <si>
    <t>Kigungu police station</t>
  </si>
  <si>
    <t>Namoni</t>
  </si>
  <si>
    <t>Overloading</t>
  </si>
  <si>
    <t>Buwaya kasanje wakiso district</t>
  </si>
  <si>
    <t>CRB 113/2025</t>
  </si>
  <si>
    <t>Kasanje</t>
  </si>
  <si>
    <t>Busowoko resort beach</t>
  </si>
  <si>
    <t xml:space="preserve">slipped into the water </t>
  </si>
  <si>
    <t>taking photos</t>
  </si>
  <si>
    <t>Victoria South</t>
  </si>
  <si>
    <t>Lujabwa</t>
  </si>
  <si>
    <t>Engine Yamaha 15HP, FISH 150kgs</t>
  </si>
  <si>
    <t>08/10/10/2025</t>
  </si>
  <si>
    <t>Kasensero Detach</t>
  </si>
  <si>
    <t>CRB 459/2025</t>
  </si>
  <si>
    <t>8/15/10/2025</t>
  </si>
  <si>
    <t>Swimming pool</t>
  </si>
  <si>
    <t>washing at the shore</t>
  </si>
  <si>
    <t>Mechanical problem</t>
  </si>
  <si>
    <t>Samba Detach</t>
  </si>
  <si>
    <t xml:space="preserve">Bukimera </t>
  </si>
  <si>
    <t>08/22/10/2025</t>
  </si>
  <si>
    <t>Bwondha police station</t>
  </si>
  <si>
    <t>07/26/10/2025</t>
  </si>
  <si>
    <t>Manyago</t>
  </si>
  <si>
    <t>41/25/10/2025</t>
  </si>
  <si>
    <t>Entebbe CPS</t>
  </si>
  <si>
    <t>Makusa</t>
  </si>
  <si>
    <t>CRB 264/2025</t>
  </si>
  <si>
    <t>AVPOL</t>
  </si>
  <si>
    <t>Sinyanya</t>
  </si>
  <si>
    <t>ADJ DEF 53/2025</t>
  </si>
  <si>
    <t>Adjuman police station</t>
  </si>
  <si>
    <t>Wabinua</t>
  </si>
  <si>
    <t>DEF 067/2025</t>
  </si>
  <si>
    <t>Namasale police station</t>
  </si>
  <si>
    <t>5 million</t>
  </si>
  <si>
    <t>08/06/11/2025</t>
  </si>
  <si>
    <t>Nangoma police station</t>
  </si>
  <si>
    <t>05/06/11/2025</t>
  </si>
  <si>
    <t>Isimba police station</t>
  </si>
  <si>
    <t>Wrecked boat</t>
  </si>
  <si>
    <t>Kagwara</t>
  </si>
  <si>
    <t>Nalwire swamp</t>
  </si>
  <si>
    <t>non swimmer</t>
  </si>
  <si>
    <t>03/17/11/25</t>
  </si>
  <si>
    <t>Lugala police marine</t>
  </si>
  <si>
    <t xml:space="preserve">Kalagala falls </t>
  </si>
  <si>
    <t>Busabala</t>
  </si>
  <si>
    <t>04/02/12/2025</t>
  </si>
  <si>
    <t>Jaguzi police post</t>
  </si>
  <si>
    <t>Kabale waters</t>
  </si>
  <si>
    <t>Engine , life jackets,cash</t>
  </si>
  <si>
    <t>05/01/12/2025</t>
  </si>
  <si>
    <t>Ziiru police post</t>
  </si>
  <si>
    <t>Engine</t>
  </si>
  <si>
    <t>09/01/12/2025</t>
  </si>
  <si>
    <t>Majanji</t>
  </si>
  <si>
    <t>Bumbe</t>
  </si>
  <si>
    <t>02/08/12/2025</t>
  </si>
  <si>
    <t xml:space="preserve">Luwero </t>
  </si>
  <si>
    <t>05/08/12/2025</t>
  </si>
  <si>
    <t>Itanda falls</t>
  </si>
  <si>
    <t>Drunkardness</t>
  </si>
  <si>
    <t>13/02/12/2025</t>
  </si>
  <si>
    <t>21/22/11/2025</t>
  </si>
  <si>
    <t>Kigo marine</t>
  </si>
  <si>
    <t>18/10/2025 21:50:36</t>
  </si>
  <si>
    <t>16/10/2025</t>
  </si>
  <si>
    <t>Lake Edward</t>
  </si>
  <si>
    <t>Kazinga channel</t>
  </si>
  <si>
    <t>Nil</t>
  </si>
  <si>
    <t>03/16/10/2025</t>
  </si>
  <si>
    <t>kabale</t>
  </si>
  <si>
    <t>Outright criminality</t>
  </si>
  <si>
    <t>Engine 15hp, fuel tank, 35 litres of petrol, mobile phone</t>
  </si>
  <si>
    <t>05/25/12/2025</t>
  </si>
  <si>
    <t>samba marine police</t>
  </si>
  <si>
    <t>Maninga</t>
  </si>
  <si>
    <t>Engine 15hp</t>
  </si>
  <si>
    <t>03/29/12/2025</t>
  </si>
  <si>
    <t>Sigulu marine detach</t>
  </si>
  <si>
    <t>mutukula</t>
  </si>
  <si>
    <t>Fuel, Fuel tank, Fuel line, clothes, Cash 200000/=, Torch worth 80000/=</t>
  </si>
  <si>
    <t>05/01/01/2026</t>
  </si>
  <si>
    <t>Kigo</t>
  </si>
  <si>
    <t>Bulebi</t>
  </si>
  <si>
    <t>Contributing Factors</t>
  </si>
  <si>
    <t>Net Entanglement</t>
  </si>
  <si>
    <t>04/10/01/2026</t>
  </si>
  <si>
    <t>Mponge police station</t>
  </si>
  <si>
    <t>Bumeru</t>
  </si>
  <si>
    <t>Night-time fishing operations, Fishing in isolated areas</t>
  </si>
  <si>
    <t>Outboard engine yamaha 2 stroke 15HP</t>
  </si>
  <si>
    <t>Kiziru</t>
  </si>
  <si>
    <t>Wearing buttoned shirt, Non use of life jacket</t>
  </si>
  <si>
    <t>Night-time fishing operations, Poor visibility, Anchored in navigation channel, Non use of life jacket, Occupants asleep at the time of collision</t>
  </si>
  <si>
    <t>DEF 01/2026</t>
  </si>
  <si>
    <t>Ship collided with anchored fishing boat</t>
  </si>
  <si>
    <t xml:space="preserve">Fatal Vessel collision </t>
  </si>
  <si>
    <t>Biisa</t>
  </si>
  <si>
    <t>Bumeru police station</t>
  </si>
  <si>
    <t>oil and gas water point</t>
  </si>
  <si>
    <t>Strong wind, Heavy tides</t>
  </si>
  <si>
    <t>L.Nyaguo</t>
  </si>
  <si>
    <t>Media</t>
  </si>
  <si>
    <t>Boat capsizing due to bad weather</t>
  </si>
  <si>
    <t>Non use of life jacket</t>
  </si>
  <si>
    <t>Non use of life jacket, No supervision</t>
  </si>
  <si>
    <t>Night-time fishing operations</t>
  </si>
  <si>
    <t>Outboard engine yamaha 2 stroke</t>
  </si>
  <si>
    <t>Searching for sailing boat</t>
  </si>
  <si>
    <t>Fatal crocodile attack</t>
  </si>
  <si>
    <t>Kamwanga</t>
  </si>
  <si>
    <t>Crocodile attack</t>
  </si>
  <si>
    <t>Bathing at the shoreline</t>
  </si>
  <si>
    <t xml:space="preserve">Bathing at the shoreline </t>
  </si>
  <si>
    <t>11/18/02/2026</t>
  </si>
  <si>
    <t>Lolwe police station</t>
  </si>
  <si>
    <t>Suicide</t>
  </si>
  <si>
    <t>KK beach</t>
  </si>
  <si>
    <t>Boat instability due to imbalance</t>
  </si>
  <si>
    <t>Small boat size</t>
  </si>
  <si>
    <t>Kigo Marine detach</t>
  </si>
  <si>
    <t>R.Nyagak</t>
  </si>
  <si>
    <t xml:space="preserve">Fatal accident(vehicle plunged river) </t>
  </si>
  <si>
    <t>Suicide by drowning</t>
  </si>
  <si>
    <t>suicide by drowning</t>
  </si>
  <si>
    <t>Fishing in isolated areas</t>
  </si>
  <si>
    <t>Outboard engine</t>
  </si>
  <si>
    <t>Kasensero detach</t>
  </si>
  <si>
    <t>Accidental loss of property</t>
  </si>
  <si>
    <t>Febraury/2026</t>
  </si>
  <si>
    <t>Pond</t>
  </si>
  <si>
    <t>Water pump</t>
  </si>
  <si>
    <t>Nkese</t>
  </si>
  <si>
    <t>Strong winds</t>
  </si>
</sst>
</file>

<file path=xl/styles.xml><?xml version="1.0" encoding="utf-8"?>
<styleSheet xmlns="http://schemas.openxmlformats.org/spreadsheetml/2006/main">
  <numFmts count="2">
    <numFmt numFmtId="164" formatCode="h:mm;@"/>
    <numFmt numFmtId="165" formatCode="[$-409]d\-mmm\-yy;@"/>
  </numFmts>
  <fonts count="7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rgb="FF202124"/>
      <name val="Docs-Roboto"/>
    </font>
    <font>
      <sz val="14"/>
      <color theme="1"/>
      <name val="Calibri"/>
      <family val="2"/>
      <scheme val="minor"/>
    </font>
    <font>
      <sz val="10"/>
      <color rgb="FF434343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442F65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F8F9FA"/>
      </top>
      <bottom style="medium">
        <color rgb="FFF8F9FA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15" fontId="1" fillId="0" borderId="0" xfId="0" applyNumberFormat="1" applyFont="1"/>
    <xf numFmtId="14" fontId="1" fillId="0" borderId="0" xfId="0" applyNumberFormat="1" applyFont="1"/>
    <xf numFmtId="17" fontId="1" fillId="0" borderId="0" xfId="0" applyNumberFormat="1" applyFont="1"/>
    <xf numFmtId="0" fontId="2" fillId="0" borderId="0" xfId="0" applyFont="1"/>
    <xf numFmtId="17" fontId="0" fillId="0" borderId="0" xfId="0" applyNumberFormat="1"/>
    <xf numFmtId="15" fontId="0" fillId="0" borderId="0" xfId="0" applyNumberFormat="1"/>
    <xf numFmtId="164" fontId="1" fillId="0" borderId="0" xfId="0" applyNumberFormat="1" applyFont="1"/>
    <xf numFmtId="164" fontId="0" fillId="0" borderId="0" xfId="0" applyNumberFormat="1"/>
    <xf numFmtId="0" fontId="1" fillId="0" borderId="0" xfId="0" applyNumberFormat="1" applyFon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0" fontId="0" fillId="0" borderId="0" xfId="0" applyNumberForma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right" vertical="center" wrapText="1"/>
    </xf>
    <xf numFmtId="0" fontId="6" fillId="2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right" vertical="center" wrapText="1"/>
    </xf>
    <xf numFmtId="21" fontId="6" fillId="2" borderId="2" xfId="0" applyNumberFormat="1" applyFont="1" applyFill="1" applyBorder="1" applyAlignment="1">
      <alignment horizontal="right" vertical="center" wrapText="1"/>
    </xf>
    <xf numFmtId="0" fontId="1" fillId="0" borderId="0" xfId="0" applyFont="1" applyFill="1" applyBorder="1"/>
    <xf numFmtId="165" fontId="6" fillId="2" borderId="2" xfId="0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horizontal="center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KAGIMU MOSES" refreshedDate="45925.307941666666" createdVersion="3" refreshedVersion="3" minRefreshableVersion="3" recordCount="91">
  <cacheSource type="worksheet">
    <worksheetSource ref="B2:B93" sheet="Sheet1"/>
  </cacheSource>
  <cacheFields count="1">
    <cacheField name="INCIDENT" numFmtId="0">
      <sharedItems count="17">
        <s v="Drowning"/>
        <s v="Attempted murder"/>
        <s v="Fatal Accident"/>
        <s v="Theft "/>
        <s v="Aggravated Robbery and Murder"/>
        <s v="Aggravated Robbery "/>
        <s v="Aggravated robbery"/>
        <s v="Robbery"/>
        <s v="Boat capsizing"/>
        <s v="Murder"/>
        <s v="Hippopotamus killing"/>
        <s v="Crocodile killing"/>
        <s v="Abduction"/>
        <s v="Boat breakdown"/>
        <s v="Engine failure"/>
        <s v="Boat arson"/>
        <s v="Stranding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KAGIMU MOSES" refreshedDate="46083.372777083336" createdVersion="3" refreshedVersion="3" minRefreshableVersion="3" recordCount="21">
  <cacheSource type="worksheet">
    <worksheetSource ref="A1:S22" sheet="Sheet3"/>
  </cacheSource>
  <cacheFields count="19">
    <cacheField name="INCIDENT" numFmtId="0">
      <sharedItems count="8">
        <s v="Aggravated Robbery"/>
        <s v="Drowning"/>
        <s v="Fatal Vessel collision "/>
        <s v="Boat capsizing"/>
        <s v="Robbery"/>
        <s v="Fatal crocodile attack"/>
        <s v="Suicide by drowning"/>
        <s v="Fatal accident(vehicle plunged river) "/>
      </sharedItems>
    </cacheField>
    <cacheField name="Date of occurrence" numFmtId="165">
      <sharedItems containsSemiMixedTypes="0" containsNonDate="0" containsDate="1" containsString="0" minDate="2026-01-01T00:00:00" maxDate="2026-02-27T00:00:00" count="14">
        <d v="2026-01-01T00:00:00"/>
        <d v="2026-01-10T00:00:00"/>
        <d v="2026-01-28T00:00:00"/>
        <d v="2026-01-16T00:00:00"/>
        <d v="2026-02-05T00:00:00"/>
        <d v="2026-02-01T00:00:00"/>
        <d v="2026-02-12T00:00:00"/>
        <d v="2026-02-16T00:00:00"/>
        <d v="2026-02-18T00:00:00"/>
        <d v="2026-02-21T00:00:00"/>
        <d v="2026-02-23T00:00:00"/>
        <d v="2026-02-24T00:00:00"/>
        <d v="2026-02-19T00:00:00"/>
        <d v="2026-02-26T00:00:00"/>
      </sharedItems>
      <fieldGroup base="1">
        <rangePr groupBy="months" startDate="2026-01-01T00:00:00" endDate="2026-02-27T00:00:00"/>
        <groupItems count="14">
          <s v="&lt;1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27/2026"/>
        </groupItems>
      </fieldGroup>
    </cacheField>
    <cacheField name="Time of occurrence" numFmtId="0">
      <sharedItems containsDate="1" containsBlank="1" containsMixedTypes="1" minDate="1899-12-30T01:00:00" maxDate="1899-12-30T23:00:00"/>
    </cacheField>
    <cacheField name="Date of reporting" numFmtId="0">
      <sharedItems containsNonDate="0" containsDate="1" containsString="0" containsBlank="1" minDate="2026-01-01T00:00:00" maxDate="2026-02-28T00:00:00"/>
    </cacheField>
    <cacheField name="Water body" numFmtId="0">
      <sharedItems count="5">
        <s v="L.Victoria"/>
        <s v="L.Albert"/>
        <s v="L.Nyaguo"/>
        <s v="Swimming pool"/>
        <s v="R.Nyagak"/>
      </sharedItems>
    </cacheField>
    <cacheField name="Zone" numFmtId="0">
      <sharedItems containsBlank="1"/>
    </cacheField>
    <cacheField name="Detach" numFmtId="0">
      <sharedItems containsBlank="1"/>
    </cacheField>
    <cacheField name="Place of occurrence" numFmtId="0">
      <sharedItems containsBlank="1"/>
    </cacheField>
    <cacheField name="Primary Cause of Incident" numFmtId="0">
      <sharedItems containsBlank="1"/>
    </cacheField>
    <cacheField name="Contributing Factors" numFmtId="0">
      <sharedItems containsBlank="1"/>
    </cacheField>
    <cacheField name="Activity before the Incident" numFmtId="0">
      <sharedItems containsBlank="1"/>
    </cacheField>
    <cacheField name="Number of Crews" numFmtId="0">
      <sharedItems containsSemiMixedTypes="0" containsString="0" containsNumber="1" containsInteger="1" minValue="1" maxValue="14"/>
    </cacheField>
    <cacheField name="number of fatalities" numFmtId="0">
      <sharedItems containsString="0" containsBlank="1" containsNumber="1" containsInteger="1" minValue="0" maxValue="6"/>
    </cacheField>
    <cacheField name="number of persons rescued" numFmtId="0">
      <sharedItems containsString="0" containsBlank="1" containsNumber="1" containsInteger="1" minValue="0" maxValue="8"/>
    </cacheField>
    <cacheField name="number of body retrievals" numFmtId="0">
      <sharedItems containsString="0" containsBlank="1" containsNumber="1" containsInteger="1" minValue="1" maxValue="6"/>
    </cacheField>
    <cacheField name="Property lost/damaged " numFmtId="0">
      <sharedItems containsBlank="1"/>
    </cacheField>
    <cacheField name="Value of property lost/damaged" numFmtId="0">
      <sharedItems containsNonDate="0" containsString="0" containsBlank="1"/>
    </cacheField>
    <cacheField name="SDREF/Police station" numFmtId="0">
      <sharedItems containsBlank="1"/>
    </cacheField>
    <cacheField name="Action taken" numFmtId="0">
      <sharedItems containsBlank="1"/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KAGIMU MOSES" refreshedDate="46083.394237731482" createdVersion="3" refreshedVersion="3" minRefreshableVersion="3" recordCount="22">
  <cacheSource type="worksheet">
    <worksheetSource ref="A1:S23" sheet="Sheet3"/>
  </cacheSource>
  <cacheFields count="19">
    <cacheField name="INCIDENT" numFmtId="0">
      <sharedItems count="9">
        <s v="Aggravated Robbery"/>
        <s v="Drowning"/>
        <s v="Fatal Vessel collision "/>
        <s v="Boat capsizing"/>
        <s v="Robbery"/>
        <s v="Fatal crocodile attack"/>
        <s v="Suicide by drowning"/>
        <s v="Fatal accident(vehicle plunged river) "/>
        <s v="Accidental loss of property"/>
      </sharedItems>
    </cacheField>
    <cacheField name="Date of occurrence" numFmtId="165">
      <sharedItems containsDate="1" containsMixedTypes="1" minDate="2026-01-01T00:00:00" maxDate="2026-02-27T00:00:00" count="15">
        <d v="2026-01-01T00:00:00"/>
        <d v="2026-01-10T00:00:00"/>
        <d v="2026-01-28T00:00:00"/>
        <d v="2026-01-16T00:00:00"/>
        <d v="2026-02-05T00:00:00"/>
        <d v="2026-02-01T00:00:00"/>
        <d v="2026-02-12T00:00:00"/>
        <d v="2026-02-16T00:00:00"/>
        <d v="2026-02-18T00:00:00"/>
        <d v="2026-02-21T00:00:00"/>
        <d v="2026-02-23T00:00:00"/>
        <d v="2026-02-24T00:00:00"/>
        <d v="2026-02-19T00:00:00"/>
        <d v="2026-02-26T00:00:00"/>
        <s v="Febraury/2026"/>
      </sharedItems>
    </cacheField>
    <cacheField name="Time of occurrence" numFmtId="0">
      <sharedItems containsDate="1" containsBlank="1" containsMixedTypes="1" minDate="1899-12-30T01:00:00" maxDate="1899-12-30T23:00:00"/>
    </cacheField>
    <cacheField name="Date of reporting" numFmtId="0">
      <sharedItems containsNonDate="0" containsDate="1" containsString="0" containsBlank="1" minDate="2026-01-01T00:00:00" maxDate="2026-02-28T00:00:00"/>
    </cacheField>
    <cacheField name="Water body" numFmtId="0">
      <sharedItems/>
    </cacheField>
    <cacheField name="Zone" numFmtId="0">
      <sharedItems containsBlank="1"/>
    </cacheField>
    <cacheField name="Detach" numFmtId="0">
      <sharedItems containsBlank="1"/>
    </cacheField>
    <cacheField name="Place of occurrence" numFmtId="0">
      <sharedItems containsBlank="1"/>
    </cacheField>
    <cacheField name="Primary Cause of Incident" numFmtId="0">
      <sharedItems containsBlank="1"/>
    </cacheField>
    <cacheField name="Contributing Factors" numFmtId="0">
      <sharedItems containsBlank="1"/>
    </cacheField>
    <cacheField name="Activity before the Incident" numFmtId="0">
      <sharedItems containsBlank="1"/>
    </cacheField>
    <cacheField name="Number of Crews" numFmtId="0">
      <sharedItems containsString="0" containsBlank="1" containsNumber="1" containsInteger="1" minValue="1" maxValue="14"/>
    </cacheField>
    <cacheField name="number of fatalities" numFmtId="0">
      <sharedItems containsString="0" containsBlank="1" containsNumber="1" containsInteger="1" minValue="0" maxValue="6"/>
    </cacheField>
    <cacheField name="number of persons rescued" numFmtId="0">
      <sharedItems containsString="0" containsBlank="1" containsNumber="1" containsInteger="1" minValue="0" maxValue="8"/>
    </cacheField>
    <cacheField name="number of body retrievals" numFmtId="0">
      <sharedItems containsString="0" containsBlank="1" containsNumber="1" containsInteger="1" minValue="1" maxValue="6"/>
    </cacheField>
    <cacheField name="Property lost/damaged " numFmtId="0">
      <sharedItems containsBlank="1"/>
    </cacheField>
    <cacheField name="Value of property lost/damaged" numFmtId="0">
      <sharedItems containsNonDate="0" containsString="0" containsBlank="1"/>
    </cacheField>
    <cacheField name="SDREF/Police station" numFmtId="0">
      <sharedItems containsBlank="1"/>
    </cacheField>
    <cacheField name="Action taken" numFmtId="0">
      <sharedItems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1">
  <r>
    <x v="0"/>
  </r>
  <r>
    <x v="0"/>
  </r>
  <r>
    <x v="0"/>
  </r>
  <r>
    <x v="1"/>
  </r>
  <r>
    <x v="0"/>
  </r>
  <r>
    <x v="2"/>
  </r>
  <r>
    <x v="0"/>
  </r>
  <r>
    <x v="3"/>
  </r>
  <r>
    <x v="0"/>
  </r>
  <r>
    <x v="4"/>
  </r>
  <r>
    <x v="0"/>
  </r>
  <r>
    <x v="0"/>
  </r>
  <r>
    <x v="5"/>
  </r>
  <r>
    <x v="6"/>
  </r>
  <r>
    <x v="7"/>
  </r>
  <r>
    <x v="0"/>
  </r>
  <r>
    <x v="0"/>
  </r>
  <r>
    <x v="0"/>
  </r>
  <r>
    <x v="0"/>
  </r>
  <r>
    <x v="7"/>
  </r>
  <r>
    <x v="8"/>
  </r>
  <r>
    <x v="0"/>
  </r>
  <r>
    <x v="6"/>
  </r>
  <r>
    <x v="6"/>
  </r>
  <r>
    <x v="0"/>
  </r>
  <r>
    <x v="6"/>
  </r>
  <r>
    <x v="0"/>
  </r>
  <r>
    <x v="0"/>
  </r>
  <r>
    <x v="9"/>
  </r>
  <r>
    <x v="0"/>
  </r>
  <r>
    <x v="10"/>
  </r>
  <r>
    <x v="0"/>
  </r>
  <r>
    <x v="11"/>
  </r>
  <r>
    <x v="0"/>
  </r>
  <r>
    <x v="0"/>
  </r>
  <r>
    <x v="3"/>
  </r>
  <r>
    <x v="0"/>
  </r>
  <r>
    <x v="6"/>
  </r>
  <r>
    <x v="0"/>
  </r>
  <r>
    <x v="0"/>
  </r>
  <r>
    <x v="7"/>
  </r>
  <r>
    <x v="7"/>
  </r>
  <r>
    <x v="9"/>
  </r>
  <r>
    <x v="7"/>
  </r>
  <r>
    <x v="0"/>
  </r>
  <r>
    <x v="6"/>
  </r>
  <r>
    <x v="12"/>
  </r>
  <r>
    <x v="0"/>
  </r>
  <r>
    <x v="0"/>
  </r>
  <r>
    <x v="0"/>
  </r>
  <r>
    <x v="3"/>
  </r>
  <r>
    <x v="0"/>
  </r>
  <r>
    <x v="0"/>
  </r>
  <r>
    <x v="13"/>
  </r>
  <r>
    <x v="6"/>
  </r>
  <r>
    <x v="7"/>
  </r>
  <r>
    <x v="0"/>
  </r>
  <r>
    <x v="0"/>
  </r>
  <r>
    <x v="4"/>
  </r>
  <r>
    <x v="0"/>
  </r>
  <r>
    <x v="0"/>
  </r>
  <r>
    <x v="7"/>
  </r>
  <r>
    <x v="0"/>
  </r>
  <r>
    <x v="0"/>
  </r>
  <r>
    <x v="4"/>
  </r>
  <r>
    <x v="0"/>
  </r>
  <r>
    <x v="1"/>
  </r>
  <r>
    <x v="0"/>
  </r>
  <r>
    <x v="0"/>
  </r>
  <r>
    <x v="0"/>
  </r>
  <r>
    <x v="14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2"/>
  </r>
  <r>
    <x v="0"/>
  </r>
  <r>
    <x v="0"/>
  </r>
  <r>
    <x v="8"/>
  </r>
  <r>
    <x v="0"/>
  </r>
  <r>
    <x v="0"/>
  </r>
  <r>
    <x v="16"/>
  </r>
  <r>
    <x v="0"/>
  </r>
  <r>
    <x v="0"/>
  </r>
  <r>
    <x v="0"/>
  </r>
  <r>
    <x v="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1">
  <r>
    <x v="0"/>
    <x v="0"/>
    <d v="1899-12-30T01:00:00"/>
    <d v="2026-01-01T00:00:00"/>
    <x v="0"/>
    <s v="Victoria northeast"/>
    <s v="Samba"/>
    <s v="Luwero"/>
    <s v="Outright criminality"/>
    <m/>
    <s v="Fishing"/>
    <n v="3"/>
    <m/>
    <m/>
    <m/>
    <s v="Fuel, Fuel tank, Fuel line, clothes, Cash 200000/=, Torch worth 80000/="/>
    <m/>
    <s v="05/01/01/2026"/>
    <s v="Lyabana police station"/>
  </r>
  <r>
    <x v="1"/>
    <x v="1"/>
    <m/>
    <d v="2026-01-10T00:00:00"/>
    <x v="0"/>
    <s v="Victoria north"/>
    <s v="Kigo"/>
    <s v="Bulebi"/>
    <s v="Net Entanglement"/>
    <s v="Wearing buttoned shirt, Non use of life jacket"/>
    <s v="Fishing"/>
    <n v="1"/>
    <n v="1"/>
    <n v="0"/>
    <n v="1"/>
    <m/>
    <m/>
    <s v="04/10/01/2026"/>
    <s v="Mponge police station"/>
  </r>
  <r>
    <x v="0"/>
    <x v="2"/>
    <d v="1899-12-30T01:00:00"/>
    <d v="2026-01-28T00:00:00"/>
    <x v="0"/>
    <s v="Victoria southeast"/>
    <s v="Sigulu"/>
    <s v="Bumeru"/>
    <s v="Outright criminality"/>
    <s v="Night-time fishing operations, Fishing in isolated areas"/>
    <s v="Fishing"/>
    <n v="2"/>
    <m/>
    <m/>
    <m/>
    <s v="Outboard engine yamaha 2 stroke 15HP"/>
    <m/>
    <m/>
    <m/>
  </r>
  <r>
    <x v="0"/>
    <x v="2"/>
    <d v="1899-12-30T01:00:00"/>
    <d v="2026-01-28T00:00:00"/>
    <x v="0"/>
    <s v="Victoria southeast"/>
    <s v="Sigulu"/>
    <s v="Bumeru"/>
    <s v="Outright criminality"/>
    <s v="Night-time fishing operations, Fishing in isolated areas"/>
    <s v="Fishing"/>
    <n v="1"/>
    <m/>
    <m/>
    <m/>
    <s v="Outboard engine yamaha 2 stroke 15HP"/>
    <m/>
    <m/>
    <m/>
  </r>
  <r>
    <x v="2"/>
    <x v="3"/>
    <d v="1899-12-30T23:00:00"/>
    <d v="2026-01-16T00:00:00"/>
    <x v="0"/>
    <s v="Victoria southwest"/>
    <s v="Kasenyi"/>
    <s v="Kiziru"/>
    <s v="Ship collided with anchored fishing boat"/>
    <s v="Night-time fishing operations, Poor visibility, Anchored in navigation channel, Non use of life jacket, Occupants asleep at the time of collision"/>
    <s v="Fishing"/>
    <n v="2"/>
    <n v="2"/>
    <n v="0"/>
    <n v="2"/>
    <m/>
    <m/>
    <s v="DEF 01/2026"/>
    <s v="Kigungu police station"/>
  </r>
  <r>
    <x v="0"/>
    <x v="2"/>
    <d v="1899-12-30T01:00:00"/>
    <d v="2026-01-28T00:00:00"/>
    <x v="0"/>
    <s v="Victoria southeast"/>
    <s v="Sigulu"/>
    <s v="Biisa"/>
    <s v="Outright criminality"/>
    <s v="Night-time fishing operations, Fishing in isolated areas"/>
    <s v="Fishing"/>
    <n v="1"/>
    <m/>
    <m/>
    <m/>
    <s v="Outboard engine yamaha 2 stroke 15HP"/>
    <m/>
    <m/>
    <s v="Bumeru police station"/>
  </r>
  <r>
    <x v="0"/>
    <x v="2"/>
    <d v="1899-12-30T01:00:00"/>
    <d v="2026-01-28T00:00:00"/>
    <x v="0"/>
    <s v="Victoria southeast"/>
    <s v="Sigulu"/>
    <s v="Biisa"/>
    <s v="Outright criminality"/>
    <s v="Night-time fishing operations, Fishing in isolated areas"/>
    <s v="Fishing"/>
    <n v="1"/>
    <m/>
    <m/>
    <m/>
    <s v="Outboard engine yamaha 2 stroke 15HP"/>
    <m/>
    <m/>
    <s v="Bumeru police station"/>
  </r>
  <r>
    <x v="3"/>
    <x v="4"/>
    <d v="1899-12-30T17:30:00"/>
    <d v="2026-02-05T00:00:00"/>
    <x v="1"/>
    <s v="Albertine"/>
    <s v="Panyimur"/>
    <s v="oil and gas water point"/>
    <s v="Boat capsizing due to bad weather"/>
    <s v="Strong wind, Heavy tides"/>
    <s v="Fishing"/>
    <n v="2"/>
    <m/>
    <m/>
    <m/>
    <m/>
    <m/>
    <m/>
    <m/>
  </r>
  <r>
    <x v="1"/>
    <x v="5"/>
    <m/>
    <m/>
    <x v="2"/>
    <m/>
    <m/>
    <m/>
    <s v="Boat capsizing due to bad weather"/>
    <s v="Non use of life jacket"/>
    <s v="Fishing"/>
    <n v="1"/>
    <n v="1"/>
    <m/>
    <n v="1"/>
    <m/>
    <m/>
    <m/>
    <s v="Media"/>
  </r>
  <r>
    <x v="1"/>
    <x v="5"/>
    <m/>
    <m/>
    <x v="3"/>
    <m/>
    <m/>
    <m/>
    <s v="Inability to swim"/>
    <s v="Non use of life jacket, No supervision"/>
    <s v="Swimming"/>
    <n v="1"/>
    <n v="1"/>
    <m/>
    <n v="1"/>
    <m/>
    <m/>
    <m/>
    <s v="Media"/>
  </r>
  <r>
    <x v="1"/>
    <x v="5"/>
    <m/>
    <m/>
    <x v="0"/>
    <m/>
    <m/>
    <m/>
    <s v="Inability to swim"/>
    <m/>
    <s v="Swimming"/>
    <n v="1"/>
    <n v="1"/>
    <m/>
    <n v="1"/>
    <m/>
    <m/>
    <m/>
    <s v="Media"/>
  </r>
  <r>
    <x v="4"/>
    <x v="6"/>
    <d v="1899-12-30T23:00:00"/>
    <d v="2026-02-13T00:00:00"/>
    <x v="0"/>
    <s v="Victoria southeast"/>
    <s v="Sigulu"/>
    <s v="Biisa"/>
    <s v="Outright criminality"/>
    <s v="Night-time fishing operations"/>
    <s v="Fishing"/>
    <n v="1"/>
    <m/>
    <m/>
    <m/>
    <s v="Outboard engine yamaha 2 stroke"/>
    <m/>
    <m/>
    <s v="Sigulu marine detach"/>
  </r>
  <r>
    <x v="4"/>
    <x v="6"/>
    <d v="1899-12-30T23:00:00"/>
    <d v="2026-02-13T00:00:00"/>
    <x v="0"/>
    <s v="Victoria southeast"/>
    <s v="Sigulu"/>
    <s v="Biisa"/>
    <s v="Outright criminality"/>
    <s v="Night-time fishing operations"/>
    <s v="Fishing"/>
    <n v="1"/>
    <m/>
    <m/>
    <m/>
    <s v="Outboard engine yamaha 2 stroke"/>
    <m/>
    <m/>
    <s v="Sigulu marine detach"/>
  </r>
  <r>
    <x v="1"/>
    <x v="7"/>
    <d v="1899-12-30T16:00:00"/>
    <d v="2026-02-16T00:00:00"/>
    <x v="0"/>
    <s v="Victoria south"/>
    <s v="Nkose"/>
    <s v="Nkose"/>
    <s v="unknown"/>
    <s v="Non use of life jacket"/>
    <s v="Searching for sailing boat"/>
    <n v="1"/>
    <n v="1"/>
    <m/>
    <n v="1"/>
    <m/>
    <m/>
    <m/>
    <m/>
  </r>
  <r>
    <x v="5"/>
    <x v="8"/>
    <m/>
    <d v="2026-02-18T00:00:00"/>
    <x v="0"/>
    <s v="Victoria southeast"/>
    <s v="Lolwe"/>
    <s v="Kamwanga"/>
    <s v="Crocodile attack"/>
    <s v="Bathing at the shoreline"/>
    <s v="Bathing at the shoreline "/>
    <n v="1"/>
    <n v="1"/>
    <m/>
    <n v="1"/>
    <m/>
    <m/>
    <s v="11/18/02/2026"/>
    <s v="Lolwe police station"/>
  </r>
  <r>
    <x v="6"/>
    <x v="8"/>
    <m/>
    <d v="2026-02-19T00:00:00"/>
    <x v="0"/>
    <s v="Victoria north"/>
    <s v="Gaba"/>
    <s v="Gaba"/>
    <s v="Suicide"/>
    <s v="Human error"/>
    <s v="unknown"/>
    <n v="1"/>
    <n v="1"/>
    <m/>
    <n v="1"/>
    <m/>
    <m/>
    <m/>
    <m/>
  </r>
  <r>
    <x v="1"/>
    <x v="9"/>
    <s v="unknown"/>
    <d v="2026-02-21T00:00:00"/>
    <x v="0"/>
    <s v="Victoria north"/>
    <m/>
    <s v="KK beach"/>
    <s v="unknown"/>
    <s v="Non use of life jacket"/>
    <s v="unknown"/>
    <n v="1"/>
    <n v="1"/>
    <m/>
    <n v="1"/>
    <m/>
    <m/>
    <m/>
    <s v="Mpata police station"/>
  </r>
  <r>
    <x v="3"/>
    <x v="10"/>
    <d v="1899-12-30T10:00:00"/>
    <d v="2026-02-23T00:00:00"/>
    <x v="0"/>
    <s v="Victoria north"/>
    <s v="Kigo"/>
    <s v="Kigo"/>
    <s v="Boat instability due to imbalance"/>
    <s v="Small boat size"/>
    <s v="Fishing"/>
    <n v="2"/>
    <n v="0"/>
    <n v="2"/>
    <m/>
    <m/>
    <m/>
    <m/>
    <s v="Kigo Marine detach"/>
  </r>
  <r>
    <x v="7"/>
    <x v="11"/>
    <m/>
    <d v="2026-02-24T00:00:00"/>
    <x v="4"/>
    <s v="Albertine"/>
    <s v="Panyimur"/>
    <m/>
    <m/>
    <m/>
    <m/>
    <n v="14"/>
    <n v="6"/>
    <n v="8"/>
    <n v="6"/>
    <m/>
    <m/>
    <m/>
    <m/>
  </r>
  <r>
    <x v="6"/>
    <x v="12"/>
    <d v="1899-12-30T07:30:00"/>
    <d v="2026-02-19T00:00:00"/>
    <x v="0"/>
    <s v="Victoria east"/>
    <s v="Jinja"/>
    <s v="Jinja"/>
    <s v="Suicide"/>
    <m/>
    <m/>
    <n v="1"/>
    <n v="1"/>
    <m/>
    <n v="1"/>
    <m/>
    <m/>
    <m/>
    <m/>
  </r>
  <r>
    <x v="0"/>
    <x v="13"/>
    <d v="1899-12-30T18:00:00"/>
    <d v="2026-02-27T00:00:00"/>
    <x v="0"/>
    <s v="Victoria south"/>
    <s v="Kasensero"/>
    <s v="Lujabwa"/>
    <s v="Outright criminality"/>
    <s v="Fishing in isolated areas"/>
    <s v="Fishing"/>
    <n v="2"/>
    <m/>
    <m/>
    <m/>
    <s v="Outboard engine"/>
    <m/>
    <m/>
    <s v="Kasensero detach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2">
  <r>
    <x v="0"/>
    <x v="0"/>
    <d v="1899-12-30T01:00:00"/>
    <d v="2026-01-01T00:00:00"/>
    <s v="L.Victoria"/>
    <s v="Victoria northeast"/>
    <s v="Samba"/>
    <s v="Luwero"/>
    <s v="Outright criminality"/>
    <m/>
    <s v="Fishing"/>
    <n v="3"/>
    <m/>
    <m/>
    <m/>
    <s v="Fuel, Fuel tank, Fuel line, clothes, Cash 200000/=, Torch worth 80000/="/>
    <m/>
    <s v="05/01/01/2026"/>
    <s v="Lyabana police station"/>
  </r>
  <r>
    <x v="1"/>
    <x v="1"/>
    <m/>
    <d v="2026-01-10T00:00:00"/>
    <s v="L.Victoria"/>
    <s v="Victoria north"/>
    <s v="Kigo"/>
    <s v="Bulebi"/>
    <s v="Net Entanglement"/>
    <s v="Wearing buttoned shirt, Non use of life jacket"/>
    <s v="Fishing"/>
    <n v="1"/>
    <n v="1"/>
    <n v="0"/>
    <n v="1"/>
    <m/>
    <m/>
    <s v="04/10/01/2026"/>
    <s v="Mponge police station"/>
  </r>
  <r>
    <x v="0"/>
    <x v="2"/>
    <d v="1899-12-30T01:00:00"/>
    <d v="2026-01-28T00:00:00"/>
    <s v="L.Victoria"/>
    <s v="Victoria southeast"/>
    <s v="Sigulu"/>
    <s v="Bumeru"/>
    <s v="Outright criminality"/>
    <s v="Night-time fishing operations, Fishing in isolated areas"/>
    <s v="Fishing"/>
    <n v="2"/>
    <m/>
    <m/>
    <m/>
    <s v="Outboard engine yamaha 2 stroke 15HP"/>
    <m/>
    <m/>
    <m/>
  </r>
  <r>
    <x v="0"/>
    <x v="2"/>
    <d v="1899-12-30T01:00:00"/>
    <d v="2026-01-28T00:00:00"/>
    <s v="L.Victoria"/>
    <s v="Victoria southeast"/>
    <s v="Sigulu"/>
    <s v="Bumeru"/>
    <s v="Outright criminality"/>
    <s v="Night-time fishing operations, Fishing in isolated areas"/>
    <s v="Fishing"/>
    <n v="1"/>
    <m/>
    <m/>
    <m/>
    <s v="Outboard engine yamaha 2 stroke 15HP"/>
    <m/>
    <m/>
    <m/>
  </r>
  <r>
    <x v="2"/>
    <x v="3"/>
    <d v="1899-12-30T23:00:00"/>
    <d v="2026-01-16T00:00:00"/>
    <s v="L.Victoria"/>
    <s v="Victoria southwest"/>
    <s v="Kasenyi"/>
    <s v="Kiziru"/>
    <s v="Ship collided with anchored fishing boat"/>
    <s v="Night-time fishing operations, Poor visibility, Anchored in navigation channel, Non use of life jacket, Occupants asleep at the time of collision"/>
    <s v="Fishing"/>
    <n v="2"/>
    <n v="2"/>
    <n v="0"/>
    <n v="2"/>
    <m/>
    <m/>
    <s v="DEF 01/2026"/>
    <s v="Kigungu police station"/>
  </r>
  <r>
    <x v="0"/>
    <x v="2"/>
    <d v="1899-12-30T01:00:00"/>
    <d v="2026-01-28T00:00:00"/>
    <s v="L.Victoria"/>
    <s v="Victoria southeast"/>
    <s v="Sigulu"/>
    <s v="Biisa"/>
    <s v="Outright criminality"/>
    <s v="Night-time fishing operations, Fishing in isolated areas"/>
    <s v="Fishing"/>
    <n v="1"/>
    <m/>
    <m/>
    <m/>
    <s v="Outboard engine yamaha 2 stroke 15HP"/>
    <m/>
    <m/>
    <s v="Bumeru police station"/>
  </r>
  <r>
    <x v="0"/>
    <x v="2"/>
    <d v="1899-12-30T01:00:00"/>
    <d v="2026-01-28T00:00:00"/>
    <s v="L.Victoria"/>
    <s v="Victoria southeast"/>
    <s v="Sigulu"/>
    <s v="Biisa"/>
    <s v="Outright criminality"/>
    <s v="Night-time fishing operations, Fishing in isolated areas"/>
    <s v="Fishing"/>
    <n v="1"/>
    <m/>
    <m/>
    <m/>
    <s v="Outboard engine yamaha 2 stroke 15HP"/>
    <m/>
    <m/>
    <s v="Bumeru police station"/>
  </r>
  <r>
    <x v="3"/>
    <x v="4"/>
    <d v="1899-12-30T17:30:00"/>
    <d v="2026-02-05T00:00:00"/>
    <s v="L.Albert"/>
    <s v="Albertine"/>
    <s v="Panyimur"/>
    <s v="oil and gas water point"/>
    <s v="Boat capsizing due to bad weather"/>
    <s v="Strong wind, Heavy tides"/>
    <s v="Fishing"/>
    <n v="2"/>
    <m/>
    <m/>
    <m/>
    <m/>
    <m/>
    <m/>
    <m/>
  </r>
  <r>
    <x v="1"/>
    <x v="5"/>
    <m/>
    <m/>
    <s v="L.Nyaguo"/>
    <m/>
    <m/>
    <m/>
    <s v="Boat capsizing due to bad weather"/>
    <s v="Non use of life jacket"/>
    <s v="Fishing"/>
    <n v="1"/>
    <n v="1"/>
    <m/>
    <n v="1"/>
    <m/>
    <m/>
    <m/>
    <s v="Media"/>
  </r>
  <r>
    <x v="1"/>
    <x v="5"/>
    <m/>
    <m/>
    <s v="Swimming pool"/>
    <m/>
    <m/>
    <m/>
    <s v="Inability to swim"/>
    <s v="Non use of life jacket, No supervision"/>
    <s v="Swimming"/>
    <n v="1"/>
    <n v="1"/>
    <m/>
    <n v="1"/>
    <m/>
    <m/>
    <m/>
    <s v="Media"/>
  </r>
  <r>
    <x v="1"/>
    <x v="5"/>
    <m/>
    <m/>
    <s v="L.Victoria"/>
    <m/>
    <m/>
    <m/>
    <s v="Inability to swim"/>
    <m/>
    <s v="Swimming"/>
    <n v="1"/>
    <n v="1"/>
    <m/>
    <n v="1"/>
    <m/>
    <m/>
    <m/>
    <s v="Media"/>
  </r>
  <r>
    <x v="4"/>
    <x v="6"/>
    <d v="1899-12-30T23:00:00"/>
    <d v="2026-02-13T00:00:00"/>
    <s v="L.Victoria"/>
    <s v="Victoria southeast"/>
    <s v="Sigulu"/>
    <s v="Biisa"/>
    <s v="Outright criminality"/>
    <s v="Night-time fishing operations"/>
    <s v="Fishing"/>
    <n v="1"/>
    <m/>
    <m/>
    <m/>
    <s v="Outboard engine yamaha 2 stroke"/>
    <m/>
    <m/>
    <s v="Sigulu marine detach"/>
  </r>
  <r>
    <x v="4"/>
    <x v="6"/>
    <d v="1899-12-30T23:00:00"/>
    <d v="2026-02-13T00:00:00"/>
    <s v="L.Victoria"/>
    <s v="Victoria southeast"/>
    <s v="Sigulu"/>
    <s v="Biisa"/>
    <s v="Outright criminality"/>
    <s v="Night-time fishing operations"/>
    <s v="Fishing"/>
    <n v="1"/>
    <m/>
    <m/>
    <m/>
    <s v="Outboard engine yamaha 2 stroke"/>
    <m/>
    <m/>
    <s v="Sigulu marine detach"/>
  </r>
  <r>
    <x v="1"/>
    <x v="7"/>
    <d v="1899-12-30T16:00:00"/>
    <d v="2026-02-16T00:00:00"/>
    <s v="L.Victoria"/>
    <s v="Victoria south"/>
    <s v="Nkose"/>
    <s v="Nkose"/>
    <s v="unknown"/>
    <s v="Non use of life jacket"/>
    <s v="Searching for sailing boat"/>
    <n v="1"/>
    <n v="1"/>
    <m/>
    <n v="1"/>
    <m/>
    <m/>
    <m/>
    <m/>
  </r>
  <r>
    <x v="5"/>
    <x v="8"/>
    <m/>
    <d v="2026-02-18T00:00:00"/>
    <s v="L.Victoria"/>
    <s v="Victoria southeast"/>
    <s v="Lolwe"/>
    <s v="Kamwanga"/>
    <s v="Crocodile attack"/>
    <s v="Bathing at the shoreline"/>
    <s v="Bathing at the shoreline "/>
    <n v="1"/>
    <n v="1"/>
    <m/>
    <n v="1"/>
    <m/>
    <m/>
    <s v="11/18/02/2026"/>
    <s v="Lolwe police station"/>
  </r>
  <r>
    <x v="6"/>
    <x v="8"/>
    <m/>
    <d v="2026-02-19T00:00:00"/>
    <s v="L.Victoria"/>
    <s v="Victoria north"/>
    <s v="Gaba"/>
    <s v="Gaba"/>
    <s v="Suicide"/>
    <s v="Human error"/>
    <s v="unknown"/>
    <n v="1"/>
    <n v="1"/>
    <m/>
    <n v="1"/>
    <m/>
    <m/>
    <m/>
    <m/>
  </r>
  <r>
    <x v="1"/>
    <x v="9"/>
    <s v="unknown"/>
    <d v="2026-02-21T00:00:00"/>
    <s v="L.Victoria"/>
    <s v="Victoria north"/>
    <m/>
    <s v="KK beach"/>
    <s v="unknown"/>
    <s v="Non use of life jacket"/>
    <s v="unknown"/>
    <n v="1"/>
    <n v="1"/>
    <m/>
    <n v="1"/>
    <m/>
    <m/>
    <m/>
    <s v="Mpata police station"/>
  </r>
  <r>
    <x v="3"/>
    <x v="10"/>
    <d v="1899-12-30T10:00:00"/>
    <d v="2026-02-23T00:00:00"/>
    <s v="L.Victoria"/>
    <s v="Victoria north"/>
    <s v="Kigo"/>
    <s v="Kigo"/>
    <s v="Boat instability due to imbalance"/>
    <s v="Small boat size"/>
    <s v="Fishing"/>
    <n v="2"/>
    <n v="0"/>
    <n v="2"/>
    <m/>
    <m/>
    <m/>
    <m/>
    <s v="Kigo Marine detach"/>
  </r>
  <r>
    <x v="7"/>
    <x v="11"/>
    <m/>
    <d v="2026-02-24T00:00:00"/>
    <s v="R.Nyagak"/>
    <s v="Albertine"/>
    <s v="Panyimur"/>
    <m/>
    <m/>
    <m/>
    <m/>
    <n v="14"/>
    <n v="6"/>
    <n v="8"/>
    <n v="6"/>
    <m/>
    <m/>
    <m/>
    <m/>
  </r>
  <r>
    <x v="6"/>
    <x v="12"/>
    <d v="1899-12-30T07:30:00"/>
    <d v="2026-02-19T00:00:00"/>
    <s v="L.Victoria"/>
    <s v="Victoria east"/>
    <s v="Jinja"/>
    <s v="Jinja"/>
    <s v="Suicide"/>
    <m/>
    <m/>
    <n v="1"/>
    <n v="1"/>
    <m/>
    <n v="1"/>
    <m/>
    <m/>
    <m/>
    <m/>
  </r>
  <r>
    <x v="0"/>
    <x v="13"/>
    <d v="1899-12-30T18:00:00"/>
    <d v="2026-02-27T00:00:00"/>
    <s v="L.Victoria"/>
    <s v="Victoria south"/>
    <s v="Kasensero"/>
    <s v="Lujabwa"/>
    <s v="Outright criminality"/>
    <s v="Fishing in isolated areas"/>
    <s v="Fishing"/>
    <n v="2"/>
    <m/>
    <m/>
    <m/>
    <s v="Outboard engine"/>
    <m/>
    <m/>
    <s v="Kasensero detach"/>
  </r>
  <r>
    <x v="8"/>
    <x v="14"/>
    <m/>
    <m/>
    <s v="Pond"/>
    <m/>
    <m/>
    <m/>
    <m/>
    <m/>
    <m/>
    <m/>
    <m/>
    <m/>
    <m/>
    <s v="Water pump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21" firstHeaderRow="1" firstDataRow="1" firstDataCol="1"/>
  <pivotFields count="1">
    <pivotField axis="axisRow" dataField="1" showAll="0">
      <items count="18">
        <item x="12"/>
        <item x="6"/>
        <item x="5"/>
        <item x="4"/>
        <item x="1"/>
        <item x="15"/>
        <item x="13"/>
        <item x="8"/>
        <item x="11"/>
        <item x="0"/>
        <item x="14"/>
        <item x="2"/>
        <item x="10"/>
        <item x="9"/>
        <item x="7"/>
        <item x="16"/>
        <item x="3"/>
        <item t="default"/>
      </items>
    </pivotField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Count of INCIDENT" fld="0" subtotal="count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3" cacheId="14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9" firstHeaderRow="1" firstDataRow="1" firstDataCol="1"/>
  <pivotFields count="19">
    <pivotField dataField="1" showAll="0">
      <items count="9">
        <item x="0"/>
        <item x="3"/>
        <item x="1"/>
        <item x="7"/>
        <item x="5"/>
        <item x="2"/>
        <item x="4"/>
        <item x="6"/>
        <item t="default"/>
      </items>
    </pivotField>
    <pivotField numFmtId="16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>
      <items count="6">
        <item x="1"/>
        <item x="2"/>
        <item x="0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INCIDENT" fld="0" subtotal="count" baseField="0" baseItem="0"/>
  </dataFields>
  <pivotTableStyleInfo name="PivotStyleLight10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4" cacheId="1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19" firstHeaderRow="1" firstDataRow="1" firstDataCol="1"/>
  <pivotFields count="19">
    <pivotField dataField="1" showAll="0">
      <items count="10">
        <item x="8"/>
        <item x="0"/>
        <item x="3"/>
        <item x="1"/>
        <item x="7"/>
        <item x="5"/>
        <item x="2"/>
        <item x="4"/>
        <item x="6"/>
        <item t="default"/>
      </items>
    </pivotField>
    <pivotField axis="axisRow" showAll="0">
      <items count="16">
        <item x="14"/>
        <item x="0"/>
        <item x="1"/>
        <item x="3"/>
        <item x="2"/>
        <item x="5"/>
        <item x="4"/>
        <item x="6"/>
        <item x="7"/>
        <item x="8"/>
        <item x="12"/>
        <item x="9"/>
        <item x="10"/>
        <item x="11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INCIDENT" fld="0" subtotal="count" baseField="0" baseItem="0"/>
  </dataFields>
  <pivotTableStyleInfo name="PivotStyleLight10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F21"/>
  <sheetViews>
    <sheetView workbookViewId="0">
      <selection activeCell="F12" sqref="F12"/>
    </sheetView>
  </sheetViews>
  <sheetFormatPr defaultRowHeight="15"/>
  <cols>
    <col min="1" max="1" width="30.28515625" bestFit="1" customWidth="1"/>
    <col min="2" max="2" width="17.7109375" bestFit="1" customWidth="1"/>
  </cols>
  <sheetData>
    <row r="3" spans="1:6">
      <c r="A3" s="12" t="s">
        <v>286</v>
      </c>
      <c r="B3" t="s">
        <v>247</v>
      </c>
      <c r="C3" t="s">
        <v>287</v>
      </c>
    </row>
    <row r="4" spans="1:6">
      <c r="A4" s="13" t="s">
        <v>156</v>
      </c>
      <c r="B4" s="14">
        <v>1</v>
      </c>
      <c r="C4">
        <f>GETPIVOTDATA("INCIDENT",$A$3,"INCIDENT","Abduction")*100/GETPIVOTDATA("INCIDENT",$A$3)</f>
        <v>1.098901098901099</v>
      </c>
    </row>
    <row r="5" spans="1:6">
      <c r="A5" s="13" t="s">
        <v>57</v>
      </c>
      <c r="B5" s="14">
        <v>7</v>
      </c>
    </row>
    <row r="6" spans="1:6">
      <c r="A6" s="13" t="s">
        <v>52</v>
      </c>
      <c r="B6" s="14">
        <v>1</v>
      </c>
    </row>
    <row r="7" spans="1:6">
      <c r="A7" s="13" t="s">
        <v>45</v>
      </c>
      <c r="B7" s="14">
        <v>3</v>
      </c>
    </row>
    <row r="8" spans="1:6">
      <c r="A8" s="13" t="s">
        <v>16</v>
      </c>
      <c r="B8" s="14">
        <v>2</v>
      </c>
    </row>
    <row r="9" spans="1:6">
      <c r="A9" s="13" t="s">
        <v>225</v>
      </c>
      <c r="B9" s="14">
        <v>1</v>
      </c>
      <c r="F9">
        <f>27*100/91</f>
        <v>29.670329670329672</v>
      </c>
    </row>
    <row r="10" spans="1:6">
      <c r="A10" s="13" t="s">
        <v>172</v>
      </c>
      <c r="B10" s="14">
        <v>1</v>
      </c>
      <c r="F10" t="s">
        <v>288</v>
      </c>
    </row>
    <row r="11" spans="1:6">
      <c r="A11" s="13" t="s">
        <v>73</v>
      </c>
      <c r="B11" s="14">
        <v>2</v>
      </c>
      <c r="F11">
        <f>5*100/91</f>
        <v>5.4945054945054945</v>
      </c>
    </row>
    <row r="12" spans="1:6">
      <c r="A12" s="13" t="s">
        <v>117</v>
      </c>
      <c r="B12" s="14">
        <v>1</v>
      </c>
    </row>
    <row r="13" spans="1:6">
      <c r="A13" s="13" t="s">
        <v>3</v>
      </c>
      <c r="B13" s="14">
        <v>54</v>
      </c>
      <c r="C13">
        <f>GETPIVOTDATA("INCIDENT",$A$3,"INCIDENT","Drowning")*100/GETPIVOTDATA("INCIDENT",$A$3)</f>
        <v>59.340659340659343</v>
      </c>
    </row>
    <row r="14" spans="1:6">
      <c r="A14" s="13" t="s">
        <v>208</v>
      </c>
      <c r="B14" s="14">
        <v>1</v>
      </c>
    </row>
    <row r="15" spans="1:6">
      <c r="A15" s="13" t="s">
        <v>24</v>
      </c>
      <c r="B15" s="14">
        <v>2</v>
      </c>
    </row>
    <row r="16" spans="1:6">
      <c r="A16" s="13" t="s">
        <v>110</v>
      </c>
      <c r="B16" s="14">
        <v>1</v>
      </c>
    </row>
    <row r="17" spans="1:2">
      <c r="A17" s="13" t="s">
        <v>104</v>
      </c>
      <c r="B17" s="14">
        <v>2</v>
      </c>
    </row>
    <row r="18" spans="1:2">
      <c r="A18" s="13" t="s">
        <v>60</v>
      </c>
      <c r="B18" s="14">
        <v>8</v>
      </c>
    </row>
    <row r="19" spans="1:2">
      <c r="A19" s="13" t="s">
        <v>259</v>
      </c>
      <c r="B19" s="14">
        <v>1</v>
      </c>
    </row>
    <row r="20" spans="1:2">
      <c r="A20" s="13" t="s">
        <v>36</v>
      </c>
      <c r="B20" s="14">
        <v>3</v>
      </c>
    </row>
    <row r="21" spans="1:2">
      <c r="A21" s="13" t="s">
        <v>246</v>
      </c>
      <c r="B21" s="14">
        <v>91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1"/>
  <dimension ref="A1:T154"/>
  <sheetViews>
    <sheetView tabSelected="1" topLeftCell="D131" workbookViewId="0">
      <selection activeCell="K155" sqref="K155"/>
    </sheetView>
  </sheetViews>
  <sheetFormatPr defaultRowHeight="15"/>
  <cols>
    <col min="2" max="2" width="14.28515625" customWidth="1"/>
    <col min="3" max="3" width="18" style="9" customWidth="1"/>
    <col min="4" max="4" width="15.85546875" customWidth="1"/>
    <col min="5" max="5" width="11.28515625" customWidth="1"/>
    <col min="8" max="8" width="17.28515625" customWidth="1"/>
    <col min="9" max="9" width="15.85546875" customWidth="1"/>
    <col min="12" max="12" width="12.7109375" customWidth="1"/>
    <col min="13" max="13" width="14.28515625" customWidth="1"/>
    <col min="14" max="15" width="11.140625" customWidth="1"/>
    <col min="16" max="18" width="12.140625" customWidth="1"/>
  </cols>
  <sheetData>
    <row r="1" spans="1:20" ht="15.75">
      <c r="I1" s="24" t="s">
        <v>217</v>
      </c>
      <c r="J1" s="24"/>
      <c r="K1" s="24"/>
      <c r="L1" s="24"/>
      <c r="M1" s="24"/>
      <c r="N1" s="24"/>
      <c r="O1" s="24"/>
      <c r="P1" s="24"/>
      <c r="Q1" s="24"/>
    </row>
    <row r="2" spans="1:20" s="5" customFormat="1" ht="18.75">
      <c r="A2" s="17" t="s">
        <v>275</v>
      </c>
      <c r="B2" s="16" t="s">
        <v>218</v>
      </c>
      <c r="C2" s="16" t="s">
        <v>0</v>
      </c>
      <c r="D2" s="16" t="s">
        <v>2</v>
      </c>
      <c r="E2" s="16" t="s">
        <v>1</v>
      </c>
      <c r="F2" s="16" t="s">
        <v>4</v>
      </c>
      <c r="G2" s="16" t="s">
        <v>5</v>
      </c>
      <c r="H2" s="16" t="s">
        <v>86</v>
      </c>
      <c r="I2" s="16" t="s">
        <v>264</v>
      </c>
      <c r="J2" s="16" t="s">
        <v>265</v>
      </c>
      <c r="K2" s="16" t="s">
        <v>380</v>
      </c>
      <c r="L2" s="16" t="s">
        <v>266</v>
      </c>
      <c r="M2" s="16" t="s">
        <v>267</v>
      </c>
      <c r="N2" s="16" t="s">
        <v>268</v>
      </c>
      <c r="O2" s="16" t="s">
        <v>269</v>
      </c>
      <c r="P2" s="16" t="s">
        <v>270</v>
      </c>
      <c r="Q2" s="16" t="s">
        <v>271</v>
      </c>
      <c r="R2" s="16" t="s">
        <v>272</v>
      </c>
      <c r="S2" s="16" t="s">
        <v>273</v>
      </c>
      <c r="T2" s="16" t="s">
        <v>274</v>
      </c>
    </row>
    <row r="3" spans="1:20" ht="15.75" hidden="1">
      <c r="B3" s="1" t="s">
        <v>3</v>
      </c>
      <c r="C3" s="2">
        <v>45667</v>
      </c>
      <c r="D3" s="8">
        <v>0.69097222222222221</v>
      </c>
      <c r="E3" s="2">
        <v>45667</v>
      </c>
      <c r="F3" s="1" t="s">
        <v>68</v>
      </c>
      <c r="G3" s="1" t="s">
        <v>13</v>
      </c>
      <c r="H3" s="1" t="s">
        <v>6</v>
      </c>
      <c r="I3" s="1" t="s">
        <v>6</v>
      </c>
      <c r="J3" s="1" t="s">
        <v>224</v>
      </c>
      <c r="K3" s="1"/>
      <c r="L3" s="1" t="s">
        <v>7</v>
      </c>
      <c r="M3" s="1">
        <v>1</v>
      </c>
      <c r="N3" s="1">
        <v>1</v>
      </c>
      <c r="O3" s="1"/>
      <c r="P3" s="1">
        <v>1</v>
      </c>
      <c r="Q3" s="1"/>
      <c r="R3" s="1"/>
      <c r="S3" s="1" t="s">
        <v>8</v>
      </c>
      <c r="T3" s="1"/>
    </row>
    <row r="4" spans="1:20" ht="15.75" hidden="1">
      <c r="B4" s="1" t="s">
        <v>3</v>
      </c>
      <c r="C4" s="2">
        <v>45668</v>
      </c>
      <c r="D4" s="8">
        <v>4.1666666666666664E-2</v>
      </c>
      <c r="E4" s="2">
        <v>45668</v>
      </c>
      <c r="F4" s="1" t="s">
        <v>31</v>
      </c>
      <c r="G4" s="1" t="s">
        <v>12</v>
      </c>
      <c r="H4" s="1" t="s">
        <v>9</v>
      </c>
      <c r="I4" s="1" t="s">
        <v>9</v>
      </c>
      <c r="J4" s="1" t="s">
        <v>10</v>
      </c>
      <c r="K4" s="1"/>
      <c r="L4" s="1"/>
      <c r="M4" s="1">
        <v>1</v>
      </c>
      <c r="N4" s="1">
        <v>1</v>
      </c>
      <c r="O4" s="1"/>
      <c r="P4" s="1">
        <v>1</v>
      </c>
      <c r="Q4" s="1"/>
      <c r="R4" s="1"/>
      <c r="S4" s="1" t="s">
        <v>11</v>
      </c>
      <c r="T4" s="1"/>
    </row>
    <row r="5" spans="1:20" ht="15.75" hidden="1">
      <c r="B5" s="1" t="s">
        <v>3</v>
      </c>
      <c r="C5" s="2">
        <v>45658</v>
      </c>
      <c r="D5" s="8"/>
      <c r="E5" s="2">
        <v>45681</v>
      </c>
      <c r="F5" s="1" t="s">
        <v>68</v>
      </c>
      <c r="G5" s="1" t="s">
        <v>13</v>
      </c>
      <c r="H5" s="1" t="s">
        <v>14</v>
      </c>
      <c r="I5" s="1" t="s">
        <v>14</v>
      </c>
      <c r="J5" s="1"/>
      <c r="K5" s="1"/>
      <c r="L5" s="1"/>
      <c r="M5" s="1"/>
      <c r="N5" s="1"/>
      <c r="O5" s="1"/>
      <c r="P5" s="1"/>
      <c r="Q5" s="1"/>
      <c r="R5" s="1"/>
      <c r="S5" s="1" t="s">
        <v>15</v>
      </c>
      <c r="T5" s="1"/>
    </row>
    <row r="6" spans="1:20" ht="15.75" hidden="1">
      <c r="B6" s="1" t="s">
        <v>16</v>
      </c>
      <c r="C6" s="2">
        <v>45690</v>
      </c>
      <c r="D6" s="8">
        <v>0.60416666666666663</v>
      </c>
      <c r="E6" s="2">
        <v>45690</v>
      </c>
      <c r="F6" s="1" t="s">
        <v>68</v>
      </c>
      <c r="G6" s="1" t="s">
        <v>13</v>
      </c>
      <c r="H6" s="1" t="s">
        <v>6</v>
      </c>
      <c r="I6" s="1" t="s">
        <v>6</v>
      </c>
      <c r="J6" s="1" t="s">
        <v>17</v>
      </c>
      <c r="K6" s="1"/>
      <c r="L6" s="1" t="s">
        <v>18</v>
      </c>
      <c r="M6" s="1">
        <v>1</v>
      </c>
      <c r="N6" s="1">
        <v>1</v>
      </c>
      <c r="O6" s="1"/>
      <c r="P6" s="1">
        <v>1</v>
      </c>
      <c r="Q6" s="1"/>
      <c r="R6" s="1"/>
      <c r="S6" s="1" t="s">
        <v>19</v>
      </c>
      <c r="T6" s="1"/>
    </row>
    <row r="7" spans="1:20" ht="15.75" hidden="1">
      <c r="B7" s="1" t="s">
        <v>3</v>
      </c>
      <c r="C7" s="3">
        <v>45690</v>
      </c>
      <c r="D7" s="8">
        <v>0.5</v>
      </c>
      <c r="E7" s="2">
        <v>45691</v>
      </c>
      <c r="F7" s="1" t="s">
        <v>31</v>
      </c>
      <c r="G7" s="1" t="s">
        <v>12</v>
      </c>
      <c r="H7" s="1"/>
      <c r="I7" s="1" t="s">
        <v>20</v>
      </c>
      <c r="J7" s="1" t="s">
        <v>21</v>
      </c>
      <c r="K7" s="1"/>
      <c r="L7" s="1" t="s">
        <v>21</v>
      </c>
      <c r="M7" s="1">
        <v>1</v>
      </c>
      <c r="N7" s="1">
        <v>1</v>
      </c>
      <c r="O7" s="1"/>
      <c r="P7" s="1">
        <v>1</v>
      </c>
      <c r="Q7" s="1"/>
      <c r="R7" s="1"/>
      <c r="S7" s="1" t="s">
        <v>22</v>
      </c>
      <c r="T7" s="1" t="s">
        <v>23</v>
      </c>
    </row>
    <row r="8" spans="1:20" ht="15.75" hidden="1">
      <c r="B8" s="1" t="s">
        <v>24</v>
      </c>
      <c r="C8" s="4">
        <v>45658</v>
      </c>
      <c r="D8" s="8" t="s">
        <v>25</v>
      </c>
      <c r="E8" s="2">
        <v>45693</v>
      </c>
      <c r="F8" s="1" t="s">
        <v>31</v>
      </c>
      <c r="G8" s="1" t="s">
        <v>26</v>
      </c>
      <c r="H8" s="1" t="s">
        <v>27</v>
      </c>
      <c r="I8" s="1" t="s">
        <v>27</v>
      </c>
      <c r="J8" s="1" t="s">
        <v>28</v>
      </c>
      <c r="K8" s="1"/>
      <c r="L8" s="1" t="s">
        <v>21</v>
      </c>
      <c r="M8" s="1">
        <v>1</v>
      </c>
      <c r="N8" s="1">
        <v>1</v>
      </c>
      <c r="O8" s="1"/>
      <c r="P8" s="1">
        <v>1</v>
      </c>
      <c r="Q8" s="1"/>
      <c r="R8" s="1"/>
      <c r="S8" s="1" t="s">
        <v>29</v>
      </c>
      <c r="T8" s="1" t="s">
        <v>30</v>
      </c>
    </row>
    <row r="9" spans="1:20" ht="15.75" hidden="1">
      <c r="B9" s="1" t="s">
        <v>3</v>
      </c>
      <c r="C9" s="2">
        <v>45695</v>
      </c>
      <c r="D9" s="8"/>
      <c r="E9" s="1"/>
      <c r="F9" s="1" t="s">
        <v>41</v>
      </c>
      <c r="G9" s="1" t="s">
        <v>42</v>
      </c>
      <c r="H9" s="1"/>
      <c r="I9" s="1" t="s">
        <v>40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5.75" hidden="1">
      <c r="B10" s="1" t="s">
        <v>36</v>
      </c>
      <c r="C10" s="2">
        <v>45695</v>
      </c>
      <c r="D10" s="8"/>
      <c r="E10" s="1"/>
      <c r="F10" s="1" t="s">
        <v>31</v>
      </c>
      <c r="G10" s="1" t="s">
        <v>39</v>
      </c>
      <c r="H10" s="1"/>
      <c r="I10" s="1" t="s">
        <v>38</v>
      </c>
      <c r="J10" s="1" t="s">
        <v>37</v>
      </c>
      <c r="K10" s="1"/>
      <c r="L10" s="1"/>
      <c r="M10" s="1"/>
      <c r="N10" s="1"/>
      <c r="O10" s="1"/>
      <c r="P10" s="1"/>
      <c r="Q10" s="1" t="s">
        <v>35</v>
      </c>
      <c r="R10" s="1"/>
      <c r="S10" s="1"/>
      <c r="T10" s="1"/>
    </row>
    <row r="11" spans="1:20" ht="15.75" hidden="1">
      <c r="B11" s="1" t="s">
        <v>3</v>
      </c>
      <c r="C11" s="2">
        <v>45696</v>
      </c>
      <c r="D11" s="8"/>
      <c r="E11" s="2">
        <v>45696</v>
      </c>
      <c r="F11" s="1" t="s">
        <v>31</v>
      </c>
      <c r="G11" s="1" t="s">
        <v>26</v>
      </c>
      <c r="H11" s="1" t="s">
        <v>27</v>
      </c>
      <c r="I11" s="1" t="s">
        <v>27</v>
      </c>
      <c r="J11" s="1"/>
      <c r="K11" s="1"/>
      <c r="L11" s="1"/>
      <c r="M11" s="1"/>
      <c r="N11" s="1"/>
      <c r="O11" s="1"/>
      <c r="P11" s="1"/>
      <c r="Q11" s="1"/>
      <c r="R11" s="1"/>
      <c r="S11" s="1" t="s">
        <v>43</v>
      </c>
      <c r="T11" s="1" t="s">
        <v>30</v>
      </c>
    </row>
    <row r="12" spans="1:20" ht="15.75" hidden="1">
      <c r="B12" s="1" t="s">
        <v>45</v>
      </c>
      <c r="C12" s="2">
        <v>45700</v>
      </c>
      <c r="D12" s="8"/>
      <c r="E12" s="2">
        <v>45700</v>
      </c>
      <c r="F12" s="1" t="s">
        <v>31</v>
      </c>
      <c r="G12" s="1" t="s">
        <v>12</v>
      </c>
      <c r="H12" s="1" t="s">
        <v>9</v>
      </c>
      <c r="I12" s="1" t="s">
        <v>9</v>
      </c>
      <c r="J12" s="1" t="s">
        <v>37</v>
      </c>
      <c r="K12" s="1"/>
      <c r="L12" s="1" t="s">
        <v>7</v>
      </c>
      <c r="M12" s="1">
        <v>2</v>
      </c>
      <c r="N12" s="1">
        <v>2</v>
      </c>
      <c r="O12" s="1">
        <v>0</v>
      </c>
      <c r="P12" s="1">
        <v>2</v>
      </c>
      <c r="Q12" s="1" t="s">
        <v>46</v>
      </c>
      <c r="R12" s="1"/>
      <c r="S12" s="1" t="s">
        <v>47</v>
      </c>
      <c r="T12" s="1" t="s">
        <v>48</v>
      </c>
    </row>
    <row r="13" spans="1:20" ht="15.75" hidden="1">
      <c r="B13" s="1" t="s">
        <v>3</v>
      </c>
      <c r="C13" s="2">
        <v>45714</v>
      </c>
      <c r="D13" s="8"/>
      <c r="E13" s="2">
        <v>45714</v>
      </c>
      <c r="F13" s="1" t="s">
        <v>31</v>
      </c>
      <c r="G13" s="1" t="s">
        <v>26</v>
      </c>
      <c r="H13" s="1" t="s">
        <v>27</v>
      </c>
      <c r="I13" s="1" t="s">
        <v>27</v>
      </c>
      <c r="J13" s="1"/>
      <c r="K13" s="1"/>
      <c r="L13" s="1"/>
      <c r="M13" s="1"/>
      <c r="N13" s="1"/>
      <c r="O13" s="1"/>
      <c r="P13" s="1"/>
      <c r="Q13" s="1"/>
      <c r="R13" s="1"/>
      <c r="S13" s="1" t="s">
        <v>49</v>
      </c>
      <c r="T13" s="1" t="s">
        <v>30</v>
      </c>
    </row>
    <row r="14" spans="1:20" ht="15.75" hidden="1">
      <c r="B14" s="1" t="s">
        <v>3</v>
      </c>
      <c r="C14" s="4">
        <v>45689</v>
      </c>
      <c r="D14" s="8"/>
      <c r="E14" s="1"/>
      <c r="F14" s="1" t="s">
        <v>31</v>
      </c>
      <c r="G14" s="1" t="s">
        <v>50</v>
      </c>
      <c r="H14" s="1"/>
      <c r="I14" s="1" t="s">
        <v>51</v>
      </c>
      <c r="J14" s="1"/>
      <c r="K14" s="1"/>
      <c r="L14" s="1" t="s">
        <v>7</v>
      </c>
      <c r="M14" s="1"/>
      <c r="N14" s="1">
        <v>1</v>
      </c>
      <c r="O14" s="1">
        <v>0</v>
      </c>
      <c r="P14" s="1">
        <v>1</v>
      </c>
      <c r="Q14" s="1"/>
      <c r="R14" s="1"/>
      <c r="S14" s="1"/>
      <c r="T14" s="1"/>
    </row>
    <row r="15" spans="1:20" ht="15.75" hidden="1">
      <c r="B15" s="1" t="s">
        <v>44</v>
      </c>
      <c r="C15" s="2">
        <v>45716</v>
      </c>
      <c r="D15" s="8"/>
      <c r="E15" s="2">
        <v>45716</v>
      </c>
      <c r="F15" s="1" t="s">
        <v>31</v>
      </c>
      <c r="G15" s="1" t="s">
        <v>50</v>
      </c>
      <c r="H15" s="1"/>
      <c r="I15" s="1" t="s">
        <v>53</v>
      </c>
      <c r="J15" s="1" t="s">
        <v>37</v>
      </c>
      <c r="K15" s="1"/>
      <c r="L15" s="1"/>
      <c r="M15" s="1"/>
      <c r="N15" s="1"/>
      <c r="O15" s="1"/>
      <c r="P15" s="1"/>
      <c r="Q15" s="1" t="s">
        <v>56</v>
      </c>
      <c r="R15" s="1">
        <v>85000</v>
      </c>
      <c r="S15" s="1" t="s">
        <v>54</v>
      </c>
      <c r="T15" s="1" t="s">
        <v>55</v>
      </c>
    </row>
    <row r="16" spans="1:20" ht="15.75" hidden="1">
      <c r="B16" s="1" t="s">
        <v>44</v>
      </c>
      <c r="C16" s="2">
        <v>45716</v>
      </c>
      <c r="D16" s="8"/>
      <c r="E16" s="2">
        <v>45716</v>
      </c>
      <c r="F16" s="1" t="s">
        <v>31</v>
      </c>
      <c r="G16" s="1" t="s">
        <v>50</v>
      </c>
      <c r="H16" s="1"/>
      <c r="I16" s="1" t="s">
        <v>53</v>
      </c>
      <c r="J16" s="1" t="s">
        <v>37</v>
      </c>
      <c r="K16" s="1"/>
      <c r="L16" s="1"/>
      <c r="M16" s="1"/>
      <c r="N16" s="1"/>
      <c r="O16" s="1"/>
      <c r="P16" s="1"/>
      <c r="Q16" s="1" t="s">
        <v>58</v>
      </c>
      <c r="R16" s="1">
        <v>350000</v>
      </c>
      <c r="S16" s="1" t="s">
        <v>59</v>
      </c>
      <c r="T16" s="1" t="s">
        <v>55</v>
      </c>
    </row>
    <row r="17" spans="2:20" ht="15.75" hidden="1">
      <c r="B17" s="1" t="s">
        <v>60</v>
      </c>
      <c r="C17" s="2">
        <v>45719</v>
      </c>
      <c r="D17" s="8"/>
      <c r="E17" s="2">
        <v>45719</v>
      </c>
      <c r="F17" s="1" t="s">
        <v>31</v>
      </c>
      <c r="G17" s="1" t="s">
        <v>12</v>
      </c>
      <c r="H17" s="1"/>
      <c r="I17" s="1" t="s">
        <v>61</v>
      </c>
      <c r="J17" s="1" t="s">
        <v>37</v>
      </c>
      <c r="K17" s="1"/>
      <c r="L17" s="1"/>
      <c r="M17" s="1"/>
      <c r="N17" s="1"/>
      <c r="O17" s="1"/>
      <c r="P17" s="1"/>
      <c r="Q17" s="1" t="s">
        <v>64</v>
      </c>
      <c r="R17" s="1">
        <v>3000000</v>
      </c>
      <c r="S17" s="1" t="s">
        <v>62</v>
      </c>
      <c r="T17" s="1" t="s">
        <v>63</v>
      </c>
    </row>
    <row r="18" spans="2:20" ht="15.75" hidden="1">
      <c r="B18" s="1" t="s">
        <v>3</v>
      </c>
      <c r="C18" s="2">
        <v>45720</v>
      </c>
      <c r="D18" s="8">
        <v>0.625</v>
      </c>
      <c r="E18" s="2">
        <v>45721</v>
      </c>
      <c r="F18" s="1" t="s">
        <v>31</v>
      </c>
      <c r="G18" s="2" t="s">
        <v>12</v>
      </c>
      <c r="H18" s="2" t="s">
        <v>9</v>
      </c>
      <c r="I18" s="1" t="s">
        <v>65</v>
      </c>
      <c r="J18" s="1"/>
      <c r="K18" s="1"/>
      <c r="L18" s="1" t="s">
        <v>7</v>
      </c>
      <c r="M18" s="1"/>
      <c r="N18" s="1">
        <v>1</v>
      </c>
      <c r="O18" s="1">
        <v>0</v>
      </c>
      <c r="P18" s="1"/>
      <c r="Q18" s="1"/>
      <c r="R18" s="1"/>
      <c r="S18" s="1" t="s">
        <v>66</v>
      </c>
      <c r="T18" s="1" t="s">
        <v>63</v>
      </c>
    </row>
    <row r="19" spans="2:20" ht="15.75" hidden="1">
      <c r="B19" s="1" t="s">
        <v>3</v>
      </c>
      <c r="C19" s="2">
        <v>45725</v>
      </c>
      <c r="D19" s="8"/>
      <c r="E19" s="2">
        <v>45725</v>
      </c>
      <c r="F19" s="1" t="s">
        <v>31</v>
      </c>
      <c r="G19" s="1" t="s">
        <v>26</v>
      </c>
      <c r="H19" s="1" t="s">
        <v>27</v>
      </c>
      <c r="I19" s="1" t="s">
        <v>27</v>
      </c>
      <c r="J19" s="1"/>
      <c r="K19" s="1"/>
      <c r="L19" s="1"/>
      <c r="M19" s="1"/>
      <c r="N19" s="1">
        <v>1</v>
      </c>
      <c r="O19" s="1">
        <v>0</v>
      </c>
      <c r="P19" s="1">
        <v>1</v>
      </c>
      <c r="Q19" s="1"/>
      <c r="R19" s="1"/>
      <c r="S19" s="1" t="s">
        <v>67</v>
      </c>
      <c r="T19" s="1" t="s">
        <v>30</v>
      </c>
    </row>
    <row r="20" spans="2:20" ht="15.75" hidden="1">
      <c r="B20" s="1" t="s">
        <v>3</v>
      </c>
      <c r="C20" s="2">
        <v>45729</v>
      </c>
      <c r="D20" s="8">
        <v>0.75</v>
      </c>
      <c r="E20" s="1"/>
      <c r="F20" s="1" t="s">
        <v>68</v>
      </c>
      <c r="G20" s="1" t="s">
        <v>13</v>
      </c>
      <c r="H20" s="1" t="s">
        <v>6</v>
      </c>
      <c r="I20" s="1" t="s">
        <v>6</v>
      </c>
      <c r="J20" s="1"/>
      <c r="K20" s="1"/>
      <c r="L20" s="1"/>
      <c r="M20" s="1"/>
      <c r="N20" s="1">
        <v>1</v>
      </c>
      <c r="O20" s="1">
        <v>0</v>
      </c>
      <c r="P20" s="1">
        <v>1</v>
      </c>
      <c r="Q20" s="1"/>
      <c r="R20" s="1"/>
      <c r="S20" s="1"/>
      <c r="T20" s="1"/>
    </row>
    <row r="21" spans="2:20" ht="15.75" hidden="1">
      <c r="B21" s="1" t="s">
        <v>3</v>
      </c>
      <c r="C21" s="2">
        <v>45733</v>
      </c>
      <c r="D21" s="8"/>
      <c r="E21" s="2">
        <v>45733</v>
      </c>
      <c r="F21" s="1" t="s">
        <v>31</v>
      </c>
      <c r="G21" s="1" t="s">
        <v>26</v>
      </c>
      <c r="H21" s="1" t="s">
        <v>27</v>
      </c>
      <c r="I21" s="1" t="s">
        <v>27</v>
      </c>
      <c r="J21" s="1"/>
      <c r="K21" s="1"/>
      <c r="L21" s="1"/>
      <c r="M21" s="1"/>
      <c r="N21" s="1">
        <v>1</v>
      </c>
      <c r="O21" s="1">
        <v>0</v>
      </c>
      <c r="P21" s="1">
        <v>1</v>
      </c>
      <c r="Q21" s="1"/>
      <c r="R21" s="1"/>
      <c r="S21" s="1" t="s">
        <v>69</v>
      </c>
      <c r="T21" s="1" t="s">
        <v>30</v>
      </c>
    </row>
    <row r="22" spans="2:20" ht="15.75" hidden="1">
      <c r="B22" s="1" t="s">
        <v>60</v>
      </c>
      <c r="C22" s="2">
        <v>45729</v>
      </c>
      <c r="D22" s="8">
        <v>0.875</v>
      </c>
      <c r="E22" s="2">
        <v>45730</v>
      </c>
      <c r="F22" s="1" t="s">
        <v>31</v>
      </c>
      <c r="G22" s="2" t="s">
        <v>50</v>
      </c>
      <c r="H22" s="2" t="s">
        <v>88</v>
      </c>
      <c r="I22" s="1" t="s">
        <v>101</v>
      </c>
      <c r="J22" s="2" t="s">
        <v>37</v>
      </c>
      <c r="K22" s="2"/>
      <c r="L22" s="1"/>
      <c r="M22" s="1"/>
      <c r="N22" s="1"/>
      <c r="O22" s="1"/>
      <c r="P22" s="1"/>
      <c r="Q22" s="1" t="s">
        <v>70</v>
      </c>
      <c r="R22" s="1"/>
      <c r="S22" s="1" t="s">
        <v>71</v>
      </c>
      <c r="T22" s="1" t="s">
        <v>72</v>
      </c>
    </row>
    <row r="23" spans="2:20" ht="15.75" hidden="1">
      <c r="B23" s="1" t="s">
        <v>73</v>
      </c>
      <c r="C23" s="2">
        <v>45742</v>
      </c>
      <c r="D23" s="8"/>
      <c r="E23" s="2">
        <v>45742</v>
      </c>
      <c r="F23" s="1" t="s">
        <v>31</v>
      </c>
      <c r="G23" s="1" t="s">
        <v>74</v>
      </c>
      <c r="H23" s="1" t="s">
        <v>89</v>
      </c>
      <c r="I23" s="1" t="s">
        <v>90</v>
      </c>
      <c r="J23" s="1" t="s">
        <v>75</v>
      </c>
      <c r="K23" s="1"/>
      <c r="L23" s="1" t="s">
        <v>76</v>
      </c>
      <c r="M23" s="1"/>
      <c r="N23" s="1"/>
      <c r="O23" s="1"/>
      <c r="P23" s="1"/>
      <c r="Q23" s="1" t="s">
        <v>77</v>
      </c>
      <c r="R23" s="1"/>
      <c r="S23" s="1" t="s">
        <v>78</v>
      </c>
      <c r="T23" s="1" t="s">
        <v>79</v>
      </c>
    </row>
    <row r="24" spans="2:20" ht="15.75" hidden="1">
      <c r="B24" s="1" t="s">
        <v>3</v>
      </c>
      <c r="C24" s="2">
        <v>45746</v>
      </c>
      <c r="D24" s="8"/>
      <c r="E24" s="1"/>
      <c r="F24" s="1" t="s">
        <v>31</v>
      </c>
      <c r="G24" s="1" t="s">
        <v>74</v>
      </c>
      <c r="H24" s="1" t="s">
        <v>80</v>
      </c>
      <c r="I24" s="1" t="s">
        <v>80</v>
      </c>
      <c r="J24" s="1" t="s">
        <v>75</v>
      </c>
      <c r="K24" s="1"/>
      <c r="L24" s="1" t="s">
        <v>7</v>
      </c>
      <c r="M24" s="1"/>
      <c r="N24" s="1">
        <v>1</v>
      </c>
      <c r="O24" s="1">
        <v>0</v>
      </c>
      <c r="P24" s="1">
        <v>1</v>
      </c>
      <c r="Q24" s="1"/>
      <c r="R24" s="1"/>
      <c r="S24" s="1" t="s">
        <v>81</v>
      </c>
      <c r="T24" s="1" t="s">
        <v>82</v>
      </c>
    </row>
    <row r="25" spans="2:20" ht="15.75" hidden="1">
      <c r="B25" s="1" t="s">
        <v>44</v>
      </c>
      <c r="C25" s="2">
        <v>45746</v>
      </c>
      <c r="D25" s="8">
        <v>0.99305555555555547</v>
      </c>
      <c r="E25" s="2">
        <v>45752</v>
      </c>
      <c r="F25" s="1" t="s">
        <v>34</v>
      </c>
      <c r="G25" s="2" t="s">
        <v>33</v>
      </c>
      <c r="H25" s="2" t="s">
        <v>32</v>
      </c>
      <c r="I25" s="1" t="s">
        <v>91</v>
      </c>
      <c r="J25" s="2" t="s">
        <v>37</v>
      </c>
      <c r="K25" s="2"/>
      <c r="L25" s="1" t="s">
        <v>7</v>
      </c>
      <c r="M25" s="1"/>
      <c r="N25" s="1"/>
      <c r="O25" s="1"/>
      <c r="P25" s="1"/>
      <c r="Q25" s="1" t="s">
        <v>84</v>
      </c>
      <c r="R25" s="1"/>
      <c r="S25" s="1" t="s">
        <v>85</v>
      </c>
      <c r="T25" s="1" t="s">
        <v>103</v>
      </c>
    </row>
    <row r="26" spans="2:20" ht="15.75" hidden="1">
      <c r="B26" s="1" t="s">
        <v>44</v>
      </c>
      <c r="C26" s="2">
        <v>45748</v>
      </c>
      <c r="D26" s="8">
        <v>4.1666666666666664E-2</v>
      </c>
      <c r="E26" s="2">
        <v>45748</v>
      </c>
      <c r="F26" s="1" t="s">
        <v>31</v>
      </c>
      <c r="G26" s="1" t="s">
        <v>26</v>
      </c>
      <c r="H26" s="1" t="s">
        <v>27</v>
      </c>
      <c r="I26" s="1" t="s">
        <v>87</v>
      </c>
      <c r="J26" s="1" t="s">
        <v>37</v>
      </c>
      <c r="K26" s="1"/>
      <c r="L26" s="1"/>
      <c r="M26" s="1"/>
      <c r="N26" s="1"/>
      <c r="O26" s="1"/>
      <c r="P26" s="1"/>
      <c r="Q26" s="1" t="s">
        <v>70</v>
      </c>
      <c r="R26" s="1"/>
      <c r="S26" s="1" t="s">
        <v>92</v>
      </c>
      <c r="T26" s="1" t="s">
        <v>30</v>
      </c>
    </row>
    <row r="27" spans="2:20" ht="15.75" hidden="1">
      <c r="B27" s="1" t="s">
        <v>3</v>
      </c>
      <c r="C27" s="2">
        <v>45748</v>
      </c>
      <c r="D27" s="8">
        <v>0.35416666666666669</v>
      </c>
      <c r="E27" s="1"/>
      <c r="F27" s="1" t="s">
        <v>93</v>
      </c>
      <c r="G27" s="1"/>
      <c r="H27" s="1"/>
      <c r="I27" s="1" t="s">
        <v>94</v>
      </c>
      <c r="J27" s="1" t="s">
        <v>17</v>
      </c>
      <c r="K27" s="1"/>
      <c r="L27" s="1" t="s">
        <v>95</v>
      </c>
      <c r="M27" s="1"/>
      <c r="N27" s="1">
        <v>1</v>
      </c>
      <c r="O27" s="1">
        <v>0</v>
      </c>
      <c r="P27" s="1">
        <v>1</v>
      </c>
      <c r="Q27" s="1"/>
      <c r="R27" s="1"/>
      <c r="S27" s="1" t="s">
        <v>96</v>
      </c>
      <c r="T27" s="1" t="s">
        <v>97</v>
      </c>
    </row>
    <row r="28" spans="2:20" ht="15.75" hidden="1">
      <c r="B28" s="1" t="s">
        <v>44</v>
      </c>
      <c r="C28" s="2">
        <v>45749</v>
      </c>
      <c r="D28" s="8">
        <v>0.97916666666666663</v>
      </c>
      <c r="E28" s="2">
        <v>45752</v>
      </c>
      <c r="F28" s="1" t="s">
        <v>34</v>
      </c>
      <c r="G28" s="2" t="s">
        <v>33</v>
      </c>
      <c r="H28" s="1" t="s">
        <v>32</v>
      </c>
      <c r="I28" s="2" t="s">
        <v>83</v>
      </c>
      <c r="J28" s="1" t="s">
        <v>37</v>
      </c>
      <c r="K28" s="1"/>
      <c r="L28" s="1"/>
      <c r="M28" s="1"/>
      <c r="N28" s="1">
        <v>0</v>
      </c>
      <c r="O28" s="1">
        <v>0</v>
      </c>
      <c r="P28" s="1"/>
      <c r="Q28" s="1"/>
      <c r="R28" s="1"/>
      <c r="S28" s="1" t="s">
        <v>98</v>
      </c>
      <c r="T28" s="1" t="s">
        <v>103</v>
      </c>
    </row>
    <row r="29" spans="2:20" ht="15.75" hidden="1">
      <c r="B29" s="1" t="s">
        <v>3</v>
      </c>
      <c r="C29" s="2">
        <v>45754</v>
      </c>
      <c r="D29" s="8">
        <v>6.9444444444444434E-2</v>
      </c>
      <c r="E29" s="1"/>
      <c r="F29" s="1" t="s">
        <v>31</v>
      </c>
      <c r="G29" s="1" t="s">
        <v>26</v>
      </c>
      <c r="H29" s="1"/>
      <c r="I29" s="1" t="s">
        <v>99</v>
      </c>
      <c r="J29" s="1" t="s">
        <v>75</v>
      </c>
      <c r="K29" s="1"/>
      <c r="L29" s="1"/>
      <c r="M29" s="1"/>
      <c r="N29" s="1">
        <v>4</v>
      </c>
      <c r="O29" s="1">
        <v>0</v>
      </c>
      <c r="P29" s="1">
        <v>4</v>
      </c>
      <c r="Q29" s="1"/>
      <c r="R29" s="1"/>
      <c r="S29" s="1"/>
      <c r="T29" s="1"/>
    </row>
    <row r="30" spans="2:20" ht="15.75" hidden="1">
      <c r="B30" s="1" t="s">
        <v>3</v>
      </c>
      <c r="C30" s="2">
        <v>45757</v>
      </c>
      <c r="D30" s="8">
        <v>0.625</v>
      </c>
      <c r="E30" s="2">
        <v>45757</v>
      </c>
      <c r="F30" s="1" t="s">
        <v>34</v>
      </c>
      <c r="G30" s="2" t="s">
        <v>33</v>
      </c>
      <c r="H30" s="1" t="s">
        <v>32</v>
      </c>
      <c r="I30" s="2" t="s">
        <v>100</v>
      </c>
      <c r="J30" s="1" t="s">
        <v>10</v>
      </c>
      <c r="K30" s="1"/>
      <c r="L30" s="1"/>
      <c r="M30" s="1"/>
      <c r="N30" s="1">
        <v>1</v>
      </c>
      <c r="O30" s="1">
        <v>0</v>
      </c>
      <c r="P30" s="1">
        <v>1</v>
      </c>
      <c r="Q30" s="1"/>
      <c r="R30" s="1"/>
      <c r="S30" s="1" t="s">
        <v>102</v>
      </c>
      <c r="T30" s="1" t="s">
        <v>103</v>
      </c>
    </row>
    <row r="31" spans="2:20" ht="15.75" hidden="1">
      <c r="B31" s="1" t="s">
        <v>104</v>
      </c>
      <c r="C31" s="2">
        <v>45758</v>
      </c>
      <c r="D31" s="8"/>
      <c r="E31" s="2">
        <v>45758</v>
      </c>
      <c r="F31" s="1" t="s">
        <v>68</v>
      </c>
      <c r="G31" s="1" t="s">
        <v>13</v>
      </c>
      <c r="H31" s="1" t="s">
        <v>6</v>
      </c>
      <c r="I31" s="1" t="s">
        <v>105</v>
      </c>
      <c r="J31" s="1" t="s">
        <v>106</v>
      </c>
      <c r="K31" s="1"/>
      <c r="L31" s="1"/>
      <c r="M31" s="1">
        <v>1</v>
      </c>
      <c r="N31" s="1">
        <v>1</v>
      </c>
      <c r="O31" s="1">
        <v>0</v>
      </c>
      <c r="P31" s="1">
        <v>1</v>
      </c>
      <c r="Q31" s="1"/>
      <c r="R31" s="1"/>
      <c r="S31" s="1" t="s">
        <v>107</v>
      </c>
      <c r="T31" s="1" t="s">
        <v>108</v>
      </c>
    </row>
    <row r="32" spans="2:20" ht="15.75" hidden="1">
      <c r="B32" s="1" t="s">
        <v>3</v>
      </c>
      <c r="C32" s="2">
        <v>45759</v>
      </c>
      <c r="D32" s="8">
        <v>0.25</v>
      </c>
      <c r="E32" s="1"/>
      <c r="F32" s="1" t="s">
        <v>31</v>
      </c>
      <c r="G32" s="2" t="s">
        <v>33</v>
      </c>
      <c r="H32" s="1" t="s">
        <v>109</v>
      </c>
      <c r="I32" s="2" t="s">
        <v>109</v>
      </c>
      <c r="J32" s="1" t="s">
        <v>75</v>
      </c>
      <c r="K32" s="1"/>
      <c r="L32" s="2" t="s">
        <v>7</v>
      </c>
      <c r="M32" s="1"/>
      <c r="N32" s="1">
        <v>1</v>
      </c>
      <c r="O32" s="1">
        <v>2</v>
      </c>
      <c r="P32" s="1">
        <v>1</v>
      </c>
      <c r="Q32" s="1"/>
      <c r="R32" s="1"/>
      <c r="S32" s="1"/>
      <c r="T32" s="1"/>
    </row>
    <row r="33" spans="2:20" ht="15.75" hidden="1">
      <c r="B33" s="1" t="s">
        <v>110</v>
      </c>
      <c r="C33" s="2">
        <v>45760</v>
      </c>
      <c r="D33" s="8">
        <v>0.79166666666666663</v>
      </c>
      <c r="E33" s="2">
        <v>45761</v>
      </c>
      <c r="F33" s="1" t="s">
        <v>31</v>
      </c>
      <c r="G33" s="2" t="s">
        <v>111</v>
      </c>
      <c r="H33" s="1" t="s">
        <v>112</v>
      </c>
      <c r="I33" s="2" t="s">
        <v>112</v>
      </c>
      <c r="J33" s="1" t="s">
        <v>113</v>
      </c>
      <c r="K33" s="1"/>
      <c r="L33" s="1"/>
      <c r="M33" s="1"/>
      <c r="N33" s="1">
        <v>1</v>
      </c>
      <c r="O33" s="1">
        <v>0</v>
      </c>
      <c r="P33" s="1">
        <v>1</v>
      </c>
      <c r="Q33" s="1"/>
      <c r="R33" s="1"/>
      <c r="S33" s="1"/>
      <c r="T33" s="1"/>
    </row>
    <row r="34" spans="2:20" ht="15.75" hidden="1">
      <c r="B34" s="1" t="s">
        <v>3</v>
      </c>
      <c r="C34" s="2">
        <v>45764</v>
      </c>
      <c r="D34" s="8"/>
      <c r="E34" s="2">
        <v>45764</v>
      </c>
      <c r="F34" s="1" t="s">
        <v>31</v>
      </c>
      <c r="G34" s="2" t="s">
        <v>50</v>
      </c>
      <c r="H34" s="1" t="s">
        <v>114</v>
      </c>
      <c r="I34" s="2" t="s">
        <v>114</v>
      </c>
      <c r="J34" s="1" t="s">
        <v>224</v>
      </c>
      <c r="K34" s="1"/>
      <c r="L34" s="2" t="s">
        <v>115</v>
      </c>
      <c r="M34" s="1">
        <v>1</v>
      </c>
      <c r="N34" s="1">
        <v>1</v>
      </c>
      <c r="O34" s="1">
        <v>0</v>
      </c>
      <c r="P34" s="1">
        <v>1</v>
      </c>
      <c r="Q34" s="1"/>
      <c r="R34" s="1"/>
      <c r="S34" s="1" t="s">
        <v>116</v>
      </c>
      <c r="T34" s="1" t="s">
        <v>55</v>
      </c>
    </row>
    <row r="35" spans="2:20" ht="15.75" hidden="1">
      <c r="B35" s="1" t="s">
        <v>117</v>
      </c>
      <c r="C35" s="2">
        <v>45765</v>
      </c>
      <c r="D35" s="8">
        <v>0.375</v>
      </c>
      <c r="E35" s="2">
        <v>45765</v>
      </c>
      <c r="F35" s="1" t="s">
        <v>119</v>
      </c>
      <c r="G35" s="2" t="s">
        <v>42</v>
      </c>
      <c r="H35" s="1" t="s">
        <v>118</v>
      </c>
      <c r="I35" s="2" t="s">
        <v>120</v>
      </c>
      <c r="J35" s="1" t="s">
        <v>121</v>
      </c>
      <c r="K35" s="1"/>
      <c r="L35" s="2" t="s">
        <v>7</v>
      </c>
      <c r="M35" s="1">
        <v>1</v>
      </c>
      <c r="N35" s="1">
        <v>1</v>
      </c>
      <c r="O35" s="1">
        <v>0</v>
      </c>
      <c r="P35" s="1">
        <v>1</v>
      </c>
      <c r="Q35" s="1"/>
      <c r="R35" s="1"/>
      <c r="S35" s="1" t="s">
        <v>122</v>
      </c>
      <c r="T35" s="1"/>
    </row>
    <row r="36" spans="2:20" ht="15.75" hidden="1">
      <c r="B36" s="1" t="s">
        <v>3</v>
      </c>
      <c r="C36" s="4">
        <v>45748</v>
      </c>
      <c r="D36" s="8"/>
      <c r="E36" s="2">
        <v>45765</v>
      </c>
      <c r="F36" s="1" t="s">
        <v>31</v>
      </c>
      <c r="G36" s="2" t="s">
        <v>26</v>
      </c>
      <c r="H36" s="1" t="s">
        <v>123</v>
      </c>
      <c r="I36" s="2" t="s">
        <v>123</v>
      </c>
      <c r="J36" s="1" t="s">
        <v>21</v>
      </c>
      <c r="K36" s="1"/>
      <c r="L36" s="2" t="s">
        <v>21</v>
      </c>
      <c r="M36" s="1"/>
      <c r="N36" s="1">
        <v>1</v>
      </c>
      <c r="O36" s="1">
        <v>0</v>
      </c>
      <c r="P36" s="1">
        <v>1</v>
      </c>
      <c r="Q36" s="1"/>
      <c r="R36" s="1"/>
      <c r="S36" s="1" t="s">
        <v>124</v>
      </c>
      <c r="T36" s="1" t="s">
        <v>125</v>
      </c>
    </row>
    <row r="37" spans="2:20" ht="15.75" hidden="1">
      <c r="B37" s="1" t="s">
        <v>3</v>
      </c>
      <c r="C37" s="2">
        <v>45764</v>
      </c>
      <c r="D37" s="8">
        <v>0.72916666666666663</v>
      </c>
      <c r="E37" s="2">
        <v>45765</v>
      </c>
      <c r="F37" s="1" t="s">
        <v>31</v>
      </c>
      <c r="G37" s="2" t="s">
        <v>50</v>
      </c>
      <c r="H37" s="1" t="s">
        <v>89</v>
      </c>
      <c r="I37" s="2" t="s">
        <v>126</v>
      </c>
      <c r="J37" s="1" t="s">
        <v>127</v>
      </c>
      <c r="K37" s="1"/>
      <c r="L37" s="2" t="s">
        <v>21</v>
      </c>
      <c r="M37" s="1"/>
      <c r="N37" s="1">
        <v>1</v>
      </c>
      <c r="O37" s="1">
        <v>0</v>
      </c>
      <c r="P37" s="1">
        <v>1</v>
      </c>
      <c r="Q37" s="1"/>
      <c r="R37" s="1"/>
      <c r="S37" s="1" t="s">
        <v>128</v>
      </c>
      <c r="T37" s="1" t="s">
        <v>129</v>
      </c>
    </row>
    <row r="38" spans="2:20" ht="15.75" hidden="1">
      <c r="B38" s="1" t="s">
        <v>36</v>
      </c>
      <c r="C38" s="2">
        <v>45771</v>
      </c>
      <c r="D38" s="8"/>
      <c r="E38" s="2">
        <v>45773</v>
      </c>
      <c r="F38" s="1" t="s">
        <v>31</v>
      </c>
      <c r="G38" s="2" t="s">
        <v>50</v>
      </c>
      <c r="H38" s="1" t="s">
        <v>88</v>
      </c>
      <c r="I38" s="2" t="s">
        <v>130</v>
      </c>
      <c r="J38" s="1" t="s">
        <v>131</v>
      </c>
      <c r="K38" s="1"/>
      <c r="L38" s="2" t="s">
        <v>7</v>
      </c>
      <c r="M38" s="1"/>
      <c r="N38" s="1">
        <v>1</v>
      </c>
      <c r="O38" s="1">
        <v>0</v>
      </c>
      <c r="P38" s="1"/>
      <c r="Q38" s="1" t="s">
        <v>132</v>
      </c>
      <c r="R38" s="1">
        <v>1650000</v>
      </c>
      <c r="S38" s="1" t="s">
        <v>133</v>
      </c>
      <c r="T38" s="1" t="s">
        <v>88</v>
      </c>
    </row>
    <row r="39" spans="2:20" ht="15.75" hidden="1">
      <c r="B39" s="1" t="s">
        <v>3</v>
      </c>
      <c r="C39" s="2">
        <v>45775</v>
      </c>
      <c r="D39" s="8">
        <v>4.1666666666666664E-2</v>
      </c>
      <c r="E39" s="2">
        <v>45775</v>
      </c>
      <c r="F39" s="1" t="s">
        <v>68</v>
      </c>
      <c r="G39" s="2" t="s">
        <v>13</v>
      </c>
      <c r="H39" s="1" t="s">
        <v>6</v>
      </c>
      <c r="I39" s="2" t="s">
        <v>6</v>
      </c>
      <c r="J39" s="1" t="s">
        <v>224</v>
      </c>
      <c r="K39" s="1"/>
      <c r="L39" s="2" t="s">
        <v>7</v>
      </c>
      <c r="M39" s="1"/>
      <c r="N39" s="1">
        <v>1</v>
      </c>
      <c r="O39" s="1">
        <v>0</v>
      </c>
      <c r="P39" s="1">
        <v>1</v>
      </c>
      <c r="Q39" s="1"/>
      <c r="R39" s="1"/>
      <c r="S39" s="1" t="s">
        <v>134</v>
      </c>
      <c r="T39" s="1" t="s">
        <v>135</v>
      </c>
    </row>
    <row r="40" spans="2:20" ht="15.75" hidden="1">
      <c r="B40" s="1" t="s">
        <v>44</v>
      </c>
      <c r="C40" s="2">
        <v>45776</v>
      </c>
      <c r="D40" s="8">
        <v>0.97916666666666663</v>
      </c>
      <c r="E40" s="2">
        <v>45776</v>
      </c>
      <c r="F40" s="1" t="s">
        <v>31</v>
      </c>
      <c r="G40" s="2" t="s">
        <v>111</v>
      </c>
      <c r="H40" s="1" t="s">
        <v>136</v>
      </c>
      <c r="I40" s="2" t="s">
        <v>136</v>
      </c>
      <c r="J40" s="1" t="s">
        <v>37</v>
      </c>
      <c r="K40" s="1"/>
      <c r="L40" s="1"/>
      <c r="M40" s="1"/>
      <c r="N40" s="1"/>
      <c r="O40" s="1"/>
      <c r="P40" s="1"/>
      <c r="Q40" s="1" t="s">
        <v>137</v>
      </c>
      <c r="R40" s="1" t="s">
        <v>138</v>
      </c>
      <c r="S40" s="1" t="s">
        <v>139</v>
      </c>
      <c r="T40" s="1" t="s">
        <v>140</v>
      </c>
    </row>
    <row r="41" spans="2:20" ht="15.75" hidden="1">
      <c r="B41" s="1" t="s">
        <v>3</v>
      </c>
      <c r="C41" s="2">
        <v>45778</v>
      </c>
      <c r="D41" s="8">
        <v>4.1666666666666664E-2</v>
      </c>
      <c r="E41" s="2">
        <v>45778</v>
      </c>
      <c r="F41" s="1" t="s">
        <v>31</v>
      </c>
      <c r="G41" s="2" t="s">
        <v>141</v>
      </c>
      <c r="H41" s="1" t="s">
        <v>142</v>
      </c>
      <c r="I41" s="2" t="s">
        <v>143</v>
      </c>
      <c r="J41" s="1" t="s">
        <v>144</v>
      </c>
      <c r="K41" s="1"/>
      <c r="L41" s="1"/>
      <c r="M41" s="1">
        <v>1</v>
      </c>
      <c r="N41" s="1">
        <v>1</v>
      </c>
      <c r="O41" s="1">
        <v>0</v>
      </c>
      <c r="P41" s="1">
        <v>1</v>
      </c>
      <c r="Q41" s="1"/>
      <c r="R41" s="1"/>
      <c r="S41" s="1"/>
      <c r="T41" s="1"/>
    </row>
    <row r="42" spans="2:20" ht="15.75" hidden="1">
      <c r="B42" s="1" t="s">
        <v>3</v>
      </c>
      <c r="C42" s="2">
        <v>45776</v>
      </c>
      <c r="D42" s="8"/>
      <c r="E42" s="2">
        <v>45776</v>
      </c>
      <c r="F42" s="1" t="s">
        <v>31</v>
      </c>
      <c r="G42" s="2" t="s">
        <v>74</v>
      </c>
      <c r="H42" s="1" t="s">
        <v>80</v>
      </c>
      <c r="I42" s="2" t="s">
        <v>145</v>
      </c>
      <c r="J42" s="1" t="s">
        <v>75</v>
      </c>
      <c r="K42" s="1"/>
      <c r="L42" s="2" t="s">
        <v>7</v>
      </c>
      <c r="M42" s="1"/>
      <c r="N42" s="1">
        <v>1</v>
      </c>
      <c r="O42" s="1"/>
      <c r="P42" s="1">
        <v>1</v>
      </c>
      <c r="Q42" s="1"/>
      <c r="R42" s="1"/>
      <c r="S42" s="1" t="s">
        <v>139</v>
      </c>
      <c r="T42" s="1"/>
    </row>
    <row r="43" spans="2:20" ht="15.75" hidden="1">
      <c r="B43" s="1" t="s">
        <v>60</v>
      </c>
      <c r="C43" s="2">
        <v>45778</v>
      </c>
      <c r="D43" s="8">
        <v>0.83333333333333337</v>
      </c>
      <c r="E43" s="2">
        <v>45780</v>
      </c>
      <c r="F43" s="1" t="s">
        <v>31</v>
      </c>
      <c r="G43" s="2" t="s">
        <v>50</v>
      </c>
      <c r="H43" s="1" t="s">
        <v>114</v>
      </c>
      <c r="I43" s="2" t="s">
        <v>114</v>
      </c>
      <c r="J43" s="1" t="s">
        <v>37</v>
      </c>
      <c r="K43" s="1"/>
      <c r="L43" s="1"/>
      <c r="M43" s="1"/>
      <c r="N43" s="1"/>
      <c r="O43" s="1"/>
      <c r="P43" s="1"/>
      <c r="Q43" s="1" t="s">
        <v>70</v>
      </c>
      <c r="R43" s="1">
        <v>9500000</v>
      </c>
      <c r="S43" s="1" t="s">
        <v>146</v>
      </c>
      <c r="T43" s="1" t="s">
        <v>147</v>
      </c>
    </row>
    <row r="44" spans="2:20" ht="15.75" hidden="1">
      <c r="B44" s="1" t="s">
        <v>60</v>
      </c>
      <c r="C44" s="2">
        <v>45785</v>
      </c>
      <c r="D44" s="8">
        <v>0.91666666666666663</v>
      </c>
      <c r="E44" s="2">
        <v>45786</v>
      </c>
      <c r="F44" s="1" t="s">
        <v>31</v>
      </c>
      <c r="G44" s="2" t="s">
        <v>50</v>
      </c>
      <c r="H44" s="1" t="s">
        <v>88</v>
      </c>
      <c r="I44" s="2" t="s">
        <v>88</v>
      </c>
      <c r="J44" s="1" t="s">
        <v>37</v>
      </c>
      <c r="K44" s="1"/>
      <c r="L44" s="1"/>
      <c r="M44" s="1"/>
      <c r="N44" s="1"/>
      <c r="O44" s="1"/>
      <c r="P44" s="1"/>
      <c r="Q44" s="1" t="s">
        <v>148</v>
      </c>
      <c r="R44" s="1"/>
      <c r="S44" s="1" t="s">
        <v>149</v>
      </c>
      <c r="T44" s="1" t="s">
        <v>150</v>
      </c>
    </row>
    <row r="45" spans="2:20" ht="15.75" hidden="1">
      <c r="B45" s="1" t="s">
        <v>104</v>
      </c>
      <c r="C45" s="2">
        <v>45787</v>
      </c>
      <c r="D45" s="8" t="s">
        <v>25</v>
      </c>
      <c r="E45" s="2">
        <v>45789</v>
      </c>
      <c r="F45" s="1" t="s">
        <v>68</v>
      </c>
      <c r="G45" s="2" t="s">
        <v>13</v>
      </c>
      <c r="H45" s="1" t="s">
        <v>6</v>
      </c>
      <c r="I45" s="2" t="s">
        <v>151</v>
      </c>
      <c r="J45" s="1" t="s">
        <v>21</v>
      </c>
      <c r="K45" s="1"/>
      <c r="L45" s="2" t="s">
        <v>21</v>
      </c>
      <c r="M45" s="1"/>
      <c r="N45" s="1">
        <v>1</v>
      </c>
      <c r="O45" s="1">
        <v>0</v>
      </c>
      <c r="P45" s="1">
        <v>1</v>
      </c>
      <c r="Q45" s="1"/>
      <c r="R45" s="1"/>
      <c r="S45" s="1" t="s">
        <v>152</v>
      </c>
      <c r="T45" s="1" t="s">
        <v>153</v>
      </c>
    </row>
    <row r="46" spans="2:20" ht="15.75" hidden="1">
      <c r="B46" s="1" t="s">
        <v>60</v>
      </c>
      <c r="C46" s="2">
        <v>45788</v>
      </c>
      <c r="D46" s="8">
        <v>0.95833333333333337</v>
      </c>
      <c r="E46" s="2">
        <v>45790</v>
      </c>
      <c r="F46" s="1" t="s">
        <v>31</v>
      </c>
      <c r="G46" s="2" t="s">
        <v>12</v>
      </c>
      <c r="H46" s="1" t="s">
        <v>9</v>
      </c>
      <c r="I46" s="2" t="s">
        <v>9</v>
      </c>
      <c r="J46" s="1" t="s">
        <v>37</v>
      </c>
      <c r="K46" s="1"/>
      <c r="L46" s="2" t="s">
        <v>7</v>
      </c>
      <c r="M46" s="1"/>
      <c r="N46" s="1"/>
      <c r="O46" s="1"/>
      <c r="P46" s="1"/>
      <c r="Q46" s="1" t="s">
        <v>137</v>
      </c>
      <c r="R46" s="1">
        <v>7000000</v>
      </c>
      <c r="S46" s="1"/>
      <c r="T46" s="1"/>
    </row>
    <row r="47" spans="2:20" ht="15.75" hidden="1">
      <c r="B47" s="1" t="s">
        <v>3</v>
      </c>
      <c r="C47" s="4">
        <v>45778</v>
      </c>
      <c r="D47" s="8"/>
      <c r="E47" s="1"/>
      <c r="F47" s="1" t="s">
        <v>154</v>
      </c>
      <c r="G47" s="1"/>
      <c r="H47" s="1"/>
      <c r="I47" s="1"/>
      <c r="J47" s="1" t="s">
        <v>10</v>
      </c>
      <c r="K47" s="1"/>
      <c r="L47" s="1"/>
      <c r="M47" s="1">
        <v>1</v>
      </c>
      <c r="N47" s="1">
        <v>1</v>
      </c>
      <c r="O47" s="1">
        <v>0</v>
      </c>
      <c r="P47" s="1">
        <v>1</v>
      </c>
      <c r="Q47" s="1"/>
      <c r="R47" s="1"/>
      <c r="S47" s="1"/>
      <c r="T47" s="1"/>
    </row>
    <row r="48" spans="2:20" ht="15.75" hidden="1">
      <c r="B48" s="1" t="s">
        <v>44</v>
      </c>
      <c r="C48" s="2">
        <v>45790</v>
      </c>
      <c r="D48" s="8">
        <v>0.77083333333333337</v>
      </c>
      <c r="E48" s="2">
        <v>45790</v>
      </c>
      <c r="F48" s="1" t="s">
        <v>31</v>
      </c>
      <c r="G48" s="2" t="s">
        <v>12</v>
      </c>
      <c r="H48" s="1" t="s">
        <v>9</v>
      </c>
      <c r="I48" s="2" t="s">
        <v>9</v>
      </c>
      <c r="J48" s="1" t="s">
        <v>37</v>
      </c>
      <c r="K48" s="1"/>
      <c r="L48" s="2" t="s">
        <v>7</v>
      </c>
      <c r="M48" s="1"/>
      <c r="N48" s="1"/>
      <c r="O48" s="1"/>
      <c r="P48" s="1"/>
      <c r="Q48" s="1" t="s">
        <v>155</v>
      </c>
      <c r="R48" s="1"/>
      <c r="S48" s="1"/>
      <c r="T48" s="1"/>
    </row>
    <row r="49" spans="2:20" ht="15.75" hidden="1">
      <c r="B49" s="1" t="s">
        <v>156</v>
      </c>
      <c r="C49" s="2">
        <v>45790</v>
      </c>
      <c r="D49" s="8">
        <v>0.77083333333333337</v>
      </c>
      <c r="E49" s="2">
        <v>45790</v>
      </c>
      <c r="F49" s="1" t="s">
        <v>34</v>
      </c>
      <c r="G49" s="2" t="s">
        <v>33</v>
      </c>
      <c r="H49" s="1" t="s">
        <v>157</v>
      </c>
      <c r="I49" s="2" t="s">
        <v>157</v>
      </c>
      <c r="J49" s="1" t="s">
        <v>37</v>
      </c>
      <c r="K49" s="1"/>
      <c r="L49" s="1"/>
      <c r="M49" s="1"/>
      <c r="N49" s="1"/>
      <c r="O49" s="1"/>
      <c r="P49" s="1"/>
      <c r="Q49" s="1"/>
      <c r="R49" s="1"/>
      <c r="S49" s="1" t="s">
        <v>158</v>
      </c>
      <c r="T49" s="1" t="s">
        <v>159</v>
      </c>
    </row>
    <row r="50" spans="2:20" ht="15.75" hidden="1">
      <c r="B50" s="1" t="s">
        <v>3</v>
      </c>
      <c r="C50" s="2">
        <v>45791</v>
      </c>
      <c r="D50" s="8">
        <v>0.45833333333333331</v>
      </c>
      <c r="E50" s="2">
        <v>45792</v>
      </c>
      <c r="F50" s="1" t="s">
        <v>34</v>
      </c>
      <c r="G50" s="2" t="s">
        <v>33</v>
      </c>
      <c r="H50" s="1" t="s">
        <v>32</v>
      </c>
      <c r="I50" s="2" t="s">
        <v>32</v>
      </c>
      <c r="J50" s="1" t="s">
        <v>75</v>
      </c>
      <c r="K50" s="1"/>
      <c r="L50" s="1"/>
      <c r="M50" s="1">
        <v>5</v>
      </c>
      <c r="N50" s="1">
        <v>1</v>
      </c>
      <c r="O50" s="1">
        <v>4</v>
      </c>
      <c r="P50" s="1">
        <v>1</v>
      </c>
      <c r="Q50" s="1"/>
      <c r="R50" s="1"/>
      <c r="S50" s="1" t="s">
        <v>160</v>
      </c>
      <c r="T50" s="1" t="s">
        <v>161</v>
      </c>
    </row>
    <row r="51" spans="2:20" ht="15.75" hidden="1">
      <c r="B51" s="1" t="s">
        <v>3</v>
      </c>
      <c r="C51" s="2">
        <v>45795</v>
      </c>
      <c r="D51" s="8">
        <v>0.29166666666666669</v>
      </c>
      <c r="E51" s="1"/>
      <c r="F51" s="1" t="s">
        <v>31</v>
      </c>
      <c r="G51" s="2" t="s">
        <v>50</v>
      </c>
      <c r="H51" s="1" t="s">
        <v>114</v>
      </c>
      <c r="I51" s="2" t="s">
        <v>51</v>
      </c>
      <c r="J51" s="1" t="s">
        <v>75</v>
      </c>
      <c r="K51" s="1"/>
      <c r="L51" s="2" t="s">
        <v>7</v>
      </c>
      <c r="M51" s="1">
        <v>2</v>
      </c>
      <c r="N51" s="1">
        <v>1</v>
      </c>
      <c r="O51" s="1">
        <v>1</v>
      </c>
      <c r="P51" s="1">
        <v>1</v>
      </c>
      <c r="Q51" s="1"/>
      <c r="R51" s="1"/>
      <c r="S51" s="1" t="s">
        <v>162</v>
      </c>
      <c r="T51" s="1" t="s">
        <v>147</v>
      </c>
    </row>
    <row r="52" spans="2:20" ht="15.75" hidden="1">
      <c r="B52" s="1" t="s">
        <v>3</v>
      </c>
      <c r="C52" s="2">
        <v>45797</v>
      </c>
      <c r="D52" s="8">
        <v>0.375</v>
      </c>
      <c r="E52" s="2">
        <v>45797</v>
      </c>
      <c r="F52" s="1" t="s">
        <v>31</v>
      </c>
      <c r="G52" s="2" t="s">
        <v>74</v>
      </c>
      <c r="H52" s="1" t="s">
        <v>89</v>
      </c>
      <c r="I52" s="2" t="s">
        <v>89</v>
      </c>
      <c r="J52" s="1" t="s">
        <v>75</v>
      </c>
      <c r="K52" s="1"/>
      <c r="L52" s="2" t="s">
        <v>7</v>
      </c>
      <c r="M52" s="1"/>
      <c r="N52" s="1">
        <v>1</v>
      </c>
      <c r="O52" s="1"/>
      <c r="P52" s="1">
        <v>1</v>
      </c>
      <c r="Q52" s="1"/>
      <c r="R52" s="1"/>
      <c r="S52" s="1" t="s">
        <v>163</v>
      </c>
      <c r="T52" s="1"/>
    </row>
    <row r="53" spans="2:20" ht="15.75" hidden="1">
      <c r="B53" s="1" t="s">
        <v>36</v>
      </c>
      <c r="C53" s="2">
        <v>45807</v>
      </c>
      <c r="D53" s="8" t="s">
        <v>25</v>
      </c>
      <c r="E53" s="2">
        <v>45808</v>
      </c>
      <c r="F53" s="1" t="s">
        <v>31</v>
      </c>
      <c r="G53" s="2" t="s">
        <v>50</v>
      </c>
      <c r="H53" s="1" t="s">
        <v>164</v>
      </c>
      <c r="I53" s="2" t="s">
        <v>164</v>
      </c>
      <c r="J53" s="1" t="s">
        <v>37</v>
      </c>
      <c r="K53" s="1"/>
      <c r="L53" s="1"/>
      <c r="M53" s="1"/>
      <c r="N53" s="1"/>
      <c r="O53" s="1"/>
      <c r="P53" s="1"/>
      <c r="Q53" s="1" t="s">
        <v>165</v>
      </c>
      <c r="R53" s="1"/>
      <c r="S53" s="1" t="s">
        <v>166</v>
      </c>
      <c r="T53" s="1" t="s">
        <v>167</v>
      </c>
    </row>
    <row r="54" spans="2:20" ht="15.75" hidden="1">
      <c r="B54" s="1" t="s">
        <v>3</v>
      </c>
      <c r="C54" s="2">
        <v>45807</v>
      </c>
      <c r="D54" s="8">
        <v>0.6875</v>
      </c>
      <c r="E54" s="2">
        <v>45809</v>
      </c>
      <c r="F54" s="1" t="s">
        <v>31</v>
      </c>
      <c r="G54" s="2" t="s">
        <v>74</v>
      </c>
      <c r="H54" s="1" t="s">
        <v>168</v>
      </c>
      <c r="I54" s="2" t="s">
        <v>168</v>
      </c>
      <c r="J54" s="1" t="s">
        <v>75</v>
      </c>
      <c r="K54" s="1"/>
      <c r="L54" s="1"/>
      <c r="M54" s="1">
        <v>2</v>
      </c>
      <c r="N54" s="1">
        <v>1</v>
      </c>
      <c r="O54" s="1">
        <v>1</v>
      </c>
      <c r="P54" s="1">
        <v>1</v>
      </c>
      <c r="Q54" s="1"/>
      <c r="R54" s="1"/>
      <c r="S54" s="1" t="s">
        <v>169</v>
      </c>
      <c r="T54" s="1" t="s">
        <v>170</v>
      </c>
    </row>
    <row r="55" spans="2:20" ht="15.75" hidden="1">
      <c r="B55" s="1" t="s">
        <v>3</v>
      </c>
      <c r="C55" s="4">
        <v>45809</v>
      </c>
      <c r="D55" s="8"/>
      <c r="E55" s="2">
        <v>45823</v>
      </c>
      <c r="F55" s="1" t="s">
        <v>31</v>
      </c>
      <c r="G55" s="2" t="s">
        <v>50</v>
      </c>
      <c r="H55" s="1" t="s">
        <v>114</v>
      </c>
      <c r="I55" s="2" t="s">
        <v>114</v>
      </c>
      <c r="J55" s="1" t="s">
        <v>224</v>
      </c>
      <c r="K55" s="1"/>
      <c r="L55" s="2" t="s">
        <v>7</v>
      </c>
      <c r="M55" s="1"/>
      <c r="N55" s="1">
        <v>1</v>
      </c>
      <c r="O55" s="1"/>
      <c r="P55" s="1">
        <v>1</v>
      </c>
      <c r="Q55" s="1"/>
      <c r="R55" s="1"/>
      <c r="S55" s="1" t="s">
        <v>171</v>
      </c>
      <c r="T55" s="1"/>
    </row>
    <row r="56" spans="2:20" ht="15.75" hidden="1">
      <c r="B56" s="1" t="s">
        <v>172</v>
      </c>
      <c r="C56" s="2">
        <v>45823</v>
      </c>
      <c r="D56" s="8">
        <v>0.125</v>
      </c>
      <c r="E56" s="2">
        <v>45823</v>
      </c>
      <c r="F56" s="1" t="s">
        <v>31</v>
      </c>
      <c r="G56" s="2" t="s">
        <v>12</v>
      </c>
      <c r="H56" s="1" t="s">
        <v>9</v>
      </c>
      <c r="I56" s="2" t="s">
        <v>9</v>
      </c>
      <c r="J56" s="1" t="s">
        <v>173</v>
      </c>
      <c r="K56" s="1"/>
      <c r="L56" s="2" t="s">
        <v>76</v>
      </c>
      <c r="M56" s="1">
        <v>20</v>
      </c>
      <c r="N56" s="1">
        <v>0</v>
      </c>
      <c r="O56" s="1">
        <v>20</v>
      </c>
      <c r="P56" s="1">
        <v>0</v>
      </c>
      <c r="Q56" s="1"/>
      <c r="R56" s="1"/>
      <c r="S56" s="1" t="s">
        <v>174</v>
      </c>
      <c r="T56" s="1" t="s">
        <v>175</v>
      </c>
    </row>
    <row r="57" spans="2:20" ht="15.75" hidden="1">
      <c r="B57" s="1" t="s">
        <v>44</v>
      </c>
      <c r="C57" s="2">
        <v>45827</v>
      </c>
      <c r="D57" s="8">
        <v>0.79166666666666663</v>
      </c>
      <c r="E57" s="1"/>
      <c r="F57" s="1" t="s">
        <v>31</v>
      </c>
      <c r="G57" s="2" t="s">
        <v>12</v>
      </c>
      <c r="H57" s="1" t="s">
        <v>176</v>
      </c>
      <c r="I57" s="2" t="s">
        <v>176</v>
      </c>
      <c r="J57" s="1" t="s">
        <v>37</v>
      </c>
      <c r="K57" s="1"/>
      <c r="L57" s="1"/>
      <c r="M57" s="1"/>
      <c r="N57" s="1"/>
      <c r="O57" s="1"/>
      <c r="P57" s="1"/>
      <c r="Q57" s="1"/>
      <c r="R57" s="1"/>
      <c r="S57" s="1" t="s">
        <v>177</v>
      </c>
      <c r="T57" s="1" t="s">
        <v>178</v>
      </c>
    </row>
    <row r="58" spans="2:20" ht="15.75" hidden="1">
      <c r="B58" s="1" t="s">
        <v>60</v>
      </c>
      <c r="C58" s="2">
        <v>45828</v>
      </c>
      <c r="D58" s="8">
        <v>0.83333333333333337</v>
      </c>
      <c r="E58" s="2">
        <v>45829</v>
      </c>
      <c r="F58" s="1" t="s">
        <v>31</v>
      </c>
      <c r="G58" s="2" t="s">
        <v>50</v>
      </c>
      <c r="H58" s="1" t="s">
        <v>114</v>
      </c>
      <c r="I58" s="2" t="s">
        <v>179</v>
      </c>
      <c r="J58" s="1" t="s">
        <v>37</v>
      </c>
      <c r="K58" s="1"/>
      <c r="L58" s="2" t="s">
        <v>7</v>
      </c>
      <c r="M58" s="1"/>
      <c r="N58" s="1"/>
      <c r="O58" s="1"/>
      <c r="P58" s="1"/>
      <c r="Q58" s="1" t="s">
        <v>181</v>
      </c>
      <c r="R58" s="1">
        <v>8320000</v>
      </c>
      <c r="S58" s="1" t="s">
        <v>180</v>
      </c>
      <c r="T58" s="1"/>
    </row>
    <row r="59" spans="2:20" ht="15.75" hidden="1">
      <c r="B59" s="1" t="s">
        <v>3</v>
      </c>
      <c r="C59" s="2">
        <v>45831</v>
      </c>
      <c r="D59" s="8">
        <v>0.95833333333333337</v>
      </c>
      <c r="E59" s="2">
        <v>45833</v>
      </c>
      <c r="F59" s="1" t="s">
        <v>31</v>
      </c>
      <c r="G59" s="2" t="s">
        <v>50</v>
      </c>
      <c r="H59" s="1" t="s">
        <v>114</v>
      </c>
      <c r="I59" s="2" t="s">
        <v>182</v>
      </c>
      <c r="J59" s="1" t="s">
        <v>17</v>
      </c>
      <c r="K59" s="1"/>
      <c r="L59" s="2" t="s">
        <v>7</v>
      </c>
      <c r="M59" s="1"/>
      <c r="N59" s="1">
        <v>1</v>
      </c>
      <c r="O59" s="1">
        <v>0</v>
      </c>
      <c r="P59" s="1">
        <v>1</v>
      </c>
      <c r="Q59" s="1"/>
      <c r="R59" s="1"/>
      <c r="S59" s="1" t="s">
        <v>183</v>
      </c>
      <c r="T59" s="1" t="s">
        <v>184</v>
      </c>
    </row>
    <row r="60" spans="2:20" ht="15.75" hidden="1">
      <c r="B60" s="1" t="s">
        <v>3</v>
      </c>
      <c r="C60" s="2">
        <v>45837</v>
      </c>
      <c r="D60" s="8">
        <v>0.20833333333333334</v>
      </c>
      <c r="E60" s="2">
        <v>45838</v>
      </c>
      <c r="F60" s="1" t="s">
        <v>31</v>
      </c>
      <c r="G60" s="2" t="s">
        <v>111</v>
      </c>
      <c r="H60" s="1" t="s">
        <v>136</v>
      </c>
      <c r="I60" s="2" t="s">
        <v>136</v>
      </c>
      <c r="J60" s="1" t="s">
        <v>75</v>
      </c>
      <c r="K60" s="1"/>
      <c r="L60" s="2" t="s">
        <v>7</v>
      </c>
      <c r="M60" s="1"/>
      <c r="N60" s="1"/>
      <c r="O60" s="1"/>
      <c r="P60" s="1"/>
      <c r="Q60" s="1"/>
      <c r="R60" s="1"/>
      <c r="S60" s="1" t="s">
        <v>185</v>
      </c>
      <c r="T60" s="1"/>
    </row>
    <row r="61" spans="2:20" ht="15.75" hidden="1">
      <c r="B61" s="1" t="s">
        <v>45</v>
      </c>
      <c r="C61" s="2">
        <v>45843</v>
      </c>
      <c r="D61" s="8"/>
      <c r="E61" s="2">
        <v>45845</v>
      </c>
      <c r="F61" s="1" t="s">
        <v>31</v>
      </c>
      <c r="G61" s="2" t="s">
        <v>50</v>
      </c>
      <c r="H61" s="1" t="s">
        <v>114</v>
      </c>
      <c r="I61" s="2" t="s">
        <v>114</v>
      </c>
      <c r="J61" s="1" t="s">
        <v>37</v>
      </c>
      <c r="K61" s="1"/>
      <c r="L61" s="1"/>
      <c r="M61" s="1"/>
      <c r="N61" s="1">
        <v>1</v>
      </c>
      <c r="O61" s="1"/>
      <c r="P61" s="1">
        <v>1</v>
      </c>
      <c r="Q61" s="1" t="s">
        <v>70</v>
      </c>
      <c r="R61" s="1"/>
      <c r="S61" s="1" t="s">
        <v>186</v>
      </c>
      <c r="T61" s="1" t="s">
        <v>55</v>
      </c>
    </row>
    <row r="62" spans="2:20" ht="15.75" hidden="1">
      <c r="B62" s="1" t="s">
        <v>3</v>
      </c>
      <c r="C62" s="2">
        <v>45844</v>
      </c>
      <c r="D62" s="8" t="s">
        <v>189</v>
      </c>
      <c r="E62" s="2">
        <v>45845</v>
      </c>
      <c r="F62" s="1" t="s">
        <v>34</v>
      </c>
      <c r="G62" s="2" t="s">
        <v>33</v>
      </c>
      <c r="H62" s="1" t="s">
        <v>109</v>
      </c>
      <c r="I62" s="1"/>
      <c r="J62" s="1" t="s">
        <v>75</v>
      </c>
      <c r="K62" s="1"/>
      <c r="L62" s="2" t="s">
        <v>7</v>
      </c>
      <c r="M62" s="1">
        <v>6</v>
      </c>
      <c r="N62" s="1">
        <v>4</v>
      </c>
      <c r="O62" s="1">
        <v>2</v>
      </c>
      <c r="P62" s="1">
        <v>4</v>
      </c>
      <c r="Q62" s="1"/>
      <c r="R62" s="1"/>
      <c r="S62" s="1" t="s">
        <v>187</v>
      </c>
      <c r="T62" s="1" t="s">
        <v>188</v>
      </c>
    </row>
    <row r="63" spans="2:20" ht="15.75" hidden="1">
      <c r="B63" s="1" t="s">
        <v>3</v>
      </c>
      <c r="C63" s="2">
        <v>45846</v>
      </c>
      <c r="D63" s="8">
        <v>0.15972222222222224</v>
      </c>
      <c r="E63" s="1"/>
      <c r="F63" s="1" t="s">
        <v>34</v>
      </c>
      <c r="G63" s="2" t="s">
        <v>33</v>
      </c>
      <c r="H63" s="1" t="s">
        <v>109</v>
      </c>
      <c r="I63" s="2" t="s">
        <v>190</v>
      </c>
      <c r="J63" s="1" t="s">
        <v>75</v>
      </c>
      <c r="K63" s="1"/>
      <c r="L63" s="1"/>
      <c r="M63" s="1">
        <v>2</v>
      </c>
      <c r="N63" s="1">
        <v>2</v>
      </c>
      <c r="O63" s="1">
        <v>0</v>
      </c>
      <c r="P63" s="1">
        <v>2</v>
      </c>
      <c r="Q63" s="1"/>
      <c r="R63" s="1"/>
      <c r="S63" s="1"/>
      <c r="T63" s="1"/>
    </row>
    <row r="64" spans="2:20" ht="15.75" hidden="1">
      <c r="B64" s="1" t="s">
        <v>60</v>
      </c>
      <c r="C64" s="2">
        <v>45850</v>
      </c>
      <c r="D64" s="8">
        <v>0.875</v>
      </c>
      <c r="E64" s="2">
        <v>45851</v>
      </c>
      <c r="F64" s="1" t="s">
        <v>31</v>
      </c>
      <c r="G64" s="2" t="s">
        <v>50</v>
      </c>
      <c r="H64" s="1" t="s">
        <v>164</v>
      </c>
      <c r="I64" s="2" t="s">
        <v>191</v>
      </c>
      <c r="J64" s="1" t="s">
        <v>37</v>
      </c>
      <c r="K64" s="1"/>
      <c r="L64" s="2" t="s">
        <v>7</v>
      </c>
      <c r="M64" s="1">
        <v>2</v>
      </c>
      <c r="N64" s="2" t="s">
        <v>192</v>
      </c>
      <c r="O64" s="1">
        <v>0</v>
      </c>
      <c r="P64" s="1" t="s">
        <v>192</v>
      </c>
      <c r="Q64" s="1" t="s">
        <v>193</v>
      </c>
      <c r="R64" s="1"/>
      <c r="S64" s="1" t="s">
        <v>194</v>
      </c>
      <c r="T64" s="1" t="s">
        <v>72</v>
      </c>
    </row>
    <row r="65" spans="2:20" ht="15.75" hidden="1">
      <c r="B65" s="1" t="s">
        <v>3</v>
      </c>
      <c r="C65" s="2">
        <v>45848</v>
      </c>
      <c r="D65" s="8"/>
      <c r="E65" s="1"/>
      <c r="F65" s="1" t="s">
        <v>31</v>
      </c>
      <c r="G65" s="2" t="s">
        <v>12</v>
      </c>
      <c r="H65" s="1" t="s">
        <v>176</v>
      </c>
      <c r="I65" s="2" t="s">
        <v>176</v>
      </c>
      <c r="J65" s="1" t="s">
        <v>75</v>
      </c>
      <c r="K65" s="1"/>
      <c r="L65" s="2" t="s">
        <v>7</v>
      </c>
      <c r="M65" s="1">
        <v>2</v>
      </c>
      <c r="N65" s="1">
        <v>2</v>
      </c>
      <c r="O65" s="1">
        <v>0</v>
      </c>
      <c r="P65" s="1">
        <v>2</v>
      </c>
      <c r="Q65" s="1"/>
      <c r="R65" s="1"/>
      <c r="S65" s="1" t="s">
        <v>195</v>
      </c>
      <c r="T65" s="1"/>
    </row>
    <row r="66" spans="2:20" ht="15.75" hidden="1">
      <c r="B66" s="1" t="s">
        <v>3</v>
      </c>
      <c r="C66" s="2">
        <v>45852</v>
      </c>
      <c r="D66" s="8">
        <v>0.52777777777777779</v>
      </c>
      <c r="E66" s="1"/>
      <c r="F66" s="1" t="s">
        <v>31</v>
      </c>
      <c r="G66" s="2" t="s">
        <v>26</v>
      </c>
      <c r="H66" s="1" t="s">
        <v>27</v>
      </c>
      <c r="I66" s="2" t="s">
        <v>27</v>
      </c>
      <c r="J66" s="1" t="s">
        <v>75</v>
      </c>
      <c r="K66" s="1"/>
      <c r="L66" s="2" t="s">
        <v>7</v>
      </c>
      <c r="M66" s="1"/>
      <c r="N66" s="1">
        <v>1</v>
      </c>
      <c r="O66" s="1">
        <v>0</v>
      </c>
      <c r="P66" s="1">
        <v>1</v>
      </c>
      <c r="Q66" s="1"/>
      <c r="R66" s="1"/>
      <c r="S66" s="1"/>
      <c r="T66" s="1"/>
    </row>
    <row r="67" spans="2:20" ht="15.75" hidden="1">
      <c r="B67" s="1" t="s">
        <v>45</v>
      </c>
      <c r="C67" s="2">
        <v>45843</v>
      </c>
      <c r="D67" s="8">
        <v>0.8125</v>
      </c>
      <c r="E67" s="2">
        <v>45845</v>
      </c>
      <c r="F67" s="1" t="s">
        <v>31</v>
      </c>
      <c r="G67" s="2" t="s">
        <v>50</v>
      </c>
      <c r="H67" s="1" t="s">
        <v>164</v>
      </c>
      <c r="I67" s="2" t="s">
        <v>191</v>
      </c>
      <c r="J67" s="1" t="s">
        <v>37</v>
      </c>
      <c r="K67" s="1"/>
      <c r="L67" s="2" t="s">
        <v>7</v>
      </c>
      <c r="M67" s="1">
        <v>4</v>
      </c>
      <c r="N67" s="1">
        <v>1</v>
      </c>
      <c r="O67" s="1">
        <v>0</v>
      </c>
      <c r="P67" s="1">
        <v>1</v>
      </c>
      <c r="Q67" s="1"/>
      <c r="R67" s="1"/>
      <c r="S67" s="1" t="s">
        <v>186</v>
      </c>
      <c r="T67" s="1" t="s">
        <v>72</v>
      </c>
    </row>
    <row r="68" spans="2:20" ht="15.75" hidden="1">
      <c r="B68" s="1" t="s">
        <v>3</v>
      </c>
      <c r="C68" s="2">
        <v>45858</v>
      </c>
      <c r="D68" s="8"/>
      <c r="E68" s="2">
        <v>45858</v>
      </c>
      <c r="F68" s="1" t="s">
        <v>31</v>
      </c>
      <c r="G68" s="2" t="s">
        <v>12</v>
      </c>
      <c r="H68" s="1" t="s">
        <v>9</v>
      </c>
      <c r="I68" s="2" t="s">
        <v>9</v>
      </c>
      <c r="J68" s="1" t="s">
        <v>10</v>
      </c>
      <c r="K68" s="1"/>
      <c r="L68" s="1"/>
      <c r="M68" s="1">
        <v>1</v>
      </c>
      <c r="N68" s="1">
        <v>1</v>
      </c>
      <c r="O68" s="1">
        <v>0</v>
      </c>
      <c r="P68" s="1">
        <v>1</v>
      </c>
      <c r="Q68" s="1"/>
      <c r="R68" s="1"/>
      <c r="S68" s="1" t="s">
        <v>196</v>
      </c>
      <c r="T68" s="1" t="s">
        <v>197</v>
      </c>
    </row>
    <row r="69" spans="2:20" ht="15.75" hidden="1">
      <c r="B69" s="1" t="s">
        <v>16</v>
      </c>
      <c r="C69" s="2">
        <v>45856</v>
      </c>
      <c r="D69" s="8">
        <v>0.89583333333333337</v>
      </c>
      <c r="E69" s="2">
        <v>45858</v>
      </c>
      <c r="F69" s="1" t="s">
        <v>68</v>
      </c>
      <c r="G69" s="2" t="s">
        <v>13</v>
      </c>
      <c r="H69" s="1" t="s">
        <v>198</v>
      </c>
      <c r="I69" s="2" t="s">
        <v>198</v>
      </c>
      <c r="J69" s="1" t="s">
        <v>17</v>
      </c>
      <c r="K69" s="1"/>
      <c r="L69" s="2" t="s">
        <v>7</v>
      </c>
      <c r="M69" s="1">
        <v>1</v>
      </c>
      <c r="N69" s="1">
        <v>1</v>
      </c>
      <c r="O69" s="1">
        <v>0</v>
      </c>
      <c r="P69" s="1">
        <v>1</v>
      </c>
      <c r="Q69" s="1"/>
      <c r="R69" s="1"/>
      <c r="S69" s="1" t="s">
        <v>199</v>
      </c>
      <c r="T69" s="1" t="s">
        <v>200</v>
      </c>
    </row>
    <row r="70" spans="2:20" ht="15.75" hidden="1">
      <c r="B70" s="1" t="s">
        <v>3</v>
      </c>
      <c r="C70" s="6">
        <v>45839</v>
      </c>
      <c r="D70" s="9"/>
      <c r="E70" s="7">
        <v>45864</v>
      </c>
      <c r="F70" s="1" t="s">
        <v>31</v>
      </c>
      <c r="G70" s="2" t="s">
        <v>50</v>
      </c>
      <c r="H70" s="1" t="s">
        <v>164</v>
      </c>
      <c r="I70" s="2" t="s">
        <v>198</v>
      </c>
      <c r="J70" s="1" t="s">
        <v>21</v>
      </c>
      <c r="K70" s="1"/>
      <c r="L70" s="2" t="s">
        <v>21</v>
      </c>
      <c r="M70" s="1">
        <v>1</v>
      </c>
      <c r="N70" s="1">
        <v>1</v>
      </c>
      <c r="O70" s="1">
        <v>0</v>
      </c>
      <c r="P70" s="1">
        <v>1</v>
      </c>
      <c r="S70" s="1" t="s">
        <v>201</v>
      </c>
      <c r="T70" s="1" t="s">
        <v>72</v>
      </c>
    </row>
    <row r="71" spans="2:20" ht="15.75" hidden="1">
      <c r="B71" s="1" t="s">
        <v>3</v>
      </c>
      <c r="C71" s="6">
        <v>45839</v>
      </c>
      <c r="D71" s="9"/>
      <c r="E71" s="7">
        <v>45864</v>
      </c>
      <c r="F71" s="1" t="s">
        <v>93</v>
      </c>
      <c r="I71" s="2" t="s">
        <v>204</v>
      </c>
      <c r="J71" s="1" t="s">
        <v>21</v>
      </c>
      <c r="K71" s="1"/>
      <c r="L71" s="2" t="s">
        <v>21</v>
      </c>
      <c r="M71" s="1">
        <v>1</v>
      </c>
      <c r="N71" s="1">
        <v>1</v>
      </c>
      <c r="O71" s="1">
        <v>0</v>
      </c>
      <c r="P71" s="1">
        <v>1</v>
      </c>
      <c r="S71" s="1" t="s">
        <v>202</v>
      </c>
      <c r="T71" s="1" t="s">
        <v>203</v>
      </c>
    </row>
    <row r="72" spans="2:20" ht="15.75" hidden="1">
      <c r="B72" s="1" t="s">
        <v>3</v>
      </c>
      <c r="C72" s="7">
        <v>45868</v>
      </c>
      <c r="D72" s="9">
        <v>0.25</v>
      </c>
      <c r="E72" s="7">
        <v>45868</v>
      </c>
      <c r="F72" s="1" t="s">
        <v>68</v>
      </c>
      <c r="G72" s="2" t="s">
        <v>13</v>
      </c>
      <c r="H72" s="1" t="s">
        <v>198</v>
      </c>
      <c r="I72" s="2" t="s">
        <v>198</v>
      </c>
      <c r="J72" s="1" t="s">
        <v>75</v>
      </c>
      <c r="K72" s="1"/>
      <c r="L72" s="2" t="s">
        <v>7</v>
      </c>
      <c r="M72" s="1">
        <v>3</v>
      </c>
      <c r="N72" s="1">
        <v>2</v>
      </c>
      <c r="O72" s="1">
        <v>0</v>
      </c>
      <c r="P72" s="1">
        <v>0</v>
      </c>
      <c r="S72" s="1" t="s">
        <v>206</v>
      </c>
      <c r="T72" s="1" t="s">
        <v>207</v>
      </c>
    </row>
    <row r="73" spans="2:20" ht="15.75" hidden="1">
      <c r="B73" s="1" t="s">
        <v>208</v>
      </c>
      <c r="C73" s="7">
        <v>45869</v>
      </c>
      <c r="D73" s="9"/>
      <c r="E73" s="7">
        <v>45869</v>
      </c>
      <c r="F73" s="1" t="s">
        <v>209</v>
      </c>
      <c r="G73" s="2" t="s">
        <v>141</v>
      </c>
      <c r="H73" s="1" t="s">
        <v>210</v>
      </c>
      <c r="I73" s="2" t="s">
        <v>211</v>
      </c>
      <c r="J73" s="1" t="s">
        <v>208</v>
      </c>
      <c r="K73" s="1"/>
      <c r="L73" s="2" t="s">
        <v>212</v>
      </c>
      <c r="M73" s="1">
        <v>5</v>
      </c>
      <c r="N73" s="1">
        <v>0</v>
      </c>
      <c r="O73" s="1">
        <v>5</v>
      </c>
      <c r="P73" s="1">
        <v>0</v>
      </c>
      <c r="S73" s="1" t="s">
        <v>213</v>
      </c>
    </row>
    <row r="74" spans="2:20" ht="15.75" hidden="1">
      <c r="B74" s="1" t="s">
        <v>3</v>
      </c>
      <c r="C74" s="7">
        <v>45877</v>
      </c>
      <c r="D74" s="9">
        <v>0.16666666666666666</v>
      </c>
      <c r="F74" s="1" t="s">
        <v>68</v>
      </c>
      <c r="G74" s="2" t="s">
        <v>13</v>
      </c>
      <c r="H74" s="1" t="s">
        <v>198</v>
      </c>
      <c r="I74" s="2" t="s">
        <v>198</v>
      </c>
      <c r="J74" s="1" t="s">
        <v>75</v>
      </c>
      <c r="K74" s="1"/>
      <c r="L74" s="2" t="s">
        <v>7</v>
      </c>
      <c r="M74" s="1">
        <v>1</v>
      </c>
      <c r="N74" s="1">
        <v>1</v>
      </c>
      <c r="O74" s="1">
        <v>0</v>
      </c>
      <c r="P74" s="1">
        <v>1</v>
      </c>
      <c r="S74" s="1" t="s">
        <v>214</v>
      </c>
      <c r="T74" s="1" t="s">
        <v>200</v>
      </c>
    </row>
    <row r="75" spans="2:20" ht="15.75" hidden="1">
      <c r="B75" s="1" t="s">
        <v>3</v>
      </c>
      <c r="C75" s="7">
        <v>45871</v>
      </c>
      <c r="D75" s="9">
        <v>8.3333333333333329E-2</v>
      </c>
      <c r="E75" s="7">
        <v>45871</v>
      </c>
      <c r="F75" s="1" t="s">
        <v>31</v>
      </c>
      <c r="G75" s="2" t="s">
        <v>50</v>
      </c>
      <c r="H75" s="1" t="s">
        <v>164</v>
      </c>
      <c r="I75" s="2" t="s">
        <v>215</v>
      </c>
      <c r="J75" s="1" t="s">
        <v>10</v>
      </c>
      <c r="K75" s="1"/>
      <c r="L75" s="2" t="s">
        <v>76</v>
      </c>
      <c r="M75" s="1">
        <v>1</v>
      </c>
      <c r="N75" s="1">
        <v>1</v>
      </c>
      <c r="O75" s="1">
        <v>0</v>
      </c>
      <c r="P75" s="1">
        <v>1</v>
      </c>
      <c r="S75" s="1" t="s">
        <v>216</v>
      </c>
    </row>
    <row r="76" spans="2:20" ht="15.75" hidden="1">
      <c r="B76" s="1" t="s">
        <v>3</v>
      </c>
      <c r="C76" s="7">
        <v>45876</v>
      </c>
      <c r="D76" s="9"/>
      <c r="E76" s="7">
        <v>45876</v>
      </c>
      <c r="F76" s="1" t="s">
        <v>31</v>
      </c>
      <c r="G76" s="2" t="s">
        <v>74</v>
      </c>
      <c r="H76" s="1" t="s">
        <v>89</v>
      </c>
      <c r="I76" s="2" t="s">
        <v>89</v>
      </c>
      <c r="J76" s="1" t="s">
        <v>17</v>
      </c>
      <c r="K76" s="1"/>
      <c r="L76" s="2" t="s">
        <v>7</v>
      </c>
      <c r="M76" s="1">
        <v>1</v>
      </c>
      <c r="N76" s="1">
        <v>1</v>
      </c>
      <c r="O76" s="1">
        <v>0</v>
      </c>
      <c r="P76" s="1">
        <v>1</v>
      </c>
      <c r="S76" s="1" t="s">
        <v>219</v>
      </c>
      <c r="T76" s="1" t="s">
        <v>220</v>
      </c>
    </row>
    <row r="77" spans="2:20" ht="15.75" hidden="1">
      <c r="B77" s="1" t="s">
        <v>3</v>
      </c>
      <c r="C77" s="7">
        <v>45876</v>
      </c>
      <c r="D77" s="9">
        <v>0.75</v>
      </c>
      <c r="E77" s="7">
        <v>45876</v>
      </c>
      <c r="F77" s="1" t="s">
        <v>31</v>
      </c>
      <c r="G77" s="2" t="s">
        <v>26</v>
      </c>
      <c r="H77" s="1" t="s">
        <v>123</v>
      </c>
      <c r="I77" s="2" t="s">
        <v>221</v>
      </c>
      <c r="J77" s="1" t="s">
        <v>224</v>
      </c>
      <c r="K77" s="1"/>
      <c r="L77" s="2" t="s">
        <v>7</v>
      </c>
      <c r="M77" s="1">
        <v>2</v>
      </c>
      <c r="N77" s="1">
        <v>1</v>
      </c>
      <c r="O77" s="1">
        <v>0</v>
      </c>
      <c r="P77" s="1">
        <v>1</v>
      </c>
      <c r="S77" s="1" t="s">
        <v>222</v>
      </c>
      <c r="T77" t="s">
        <v>223</v>
      </c>
    </row>
    <row r="78" spans="2:20" ht="15.75" hidden="1">
      <c r="B78" s="1" t="s">
        <v>225</v>
      </c>
      <c r="C78" s="7">
        <v>45877</v>
      </c>
      <c r="D78" s="9"/>
      <c r="E78" s="7">
        <v>45877</v>
      </c>
      <c r="F78" s="1" t="s">
        <v>31</v>
      </c>
      <c r="G78" s="2" t="s">
        <v>74</v>
      </c>
      <c r="H78" s="1" t="s">
        <v>89</v>
      </c>
      <c r="I78" s="2" t="s">
        <v>226</v>
      </c>
      <c r="J78" s="1" t="s">
        <v>37</v>
      </c>
      <c r="K78" s="1"/>
      <c r="L78" s="2" t="s">
        <v>227</v>
      </c>
      <c r="M78" s="1">
        <v>1</v>
      </c>
      <c r="N78" s="10">
        <v>0</v>
      </c>
      <c r="O78" s="1">
        <v>0</v>
      </c>
      <c r="P78" t="s">
        <v>192</v>
      </c>
      <c r="Q78" t="s">
        <v>228</v>
      </c>
      <c r="R78">
        <v>100000000</v>
      </c>
      <c r="S78" s="1" t="s">
        <v>229</v>
      </c>
      <c r="T78" s="1" t="s">
        <v>230</v>
      </c>
    </row>
    <row r="79" spans="2:20" ht="15.75" hidden="1">
      <c r="B79" s="1" t="s">
        <v>3</v>
      </c>
      <c r="C79" s="11">
        <v>45877</v>
      </c>
      <c r="D79" s="9">
        <v>2.0833333333333332E-2</v>
      </c>
      <c r="E79" s="7">
        <v>45877</v>
      </c>
      <c r="F79" s="1" t="s">
        <v>31</v>
      </c>
      <c r="G79" s="2" t="s">
        <v>50</v>
      </c>
      <c r="H79" s="1" t="s">
        <v>88</v>
      </c>
      <c r="I79" s="2" t="s">
        <v>88</v>
      </c>
      <c r="J79" s="1" t="s">
        <v>10</v>
      </c>
      <c r="K79" s="1"/>
      <c r="L79" s="2" t="s">
        <v>231</v>
      </c>
      <c r="M79" s="1">
        <v>1</v>
      </c>
      <c r="N79" s="10">
        <v>1</v>
      </c>
      <c r="O79" s="1">
        <v>0</v>
      </c>
      <c r="P79" s="1">
        <v>1</v>
      </c>
      <c r="Q79" t="s">
        <v>205</v>
      </c>
      <c r="R79" t="s">
        <v>205</v>
      </c>
      <c r="S79" s="1" t="s">
        <v>232</v>
      </c>
      <c r="T79" t="s">
        <v>233</v>
      </c>
    </row>
    <row r="80" spans="2:20" ht="15.75" hidden="1">
      <c r="B80" s="1" t="s">
        <v>3</v>
      </c>
      <c r="C80" s="7">
        <v>45878</v>
      </c>
      <c r="D80" s="9">
        <v>0.625</v>
      </c>
      <c r="E80" s="7">
        <v>45878</v>
      </c>
      <c r="F80" s="1" t="s">
        <v>31</v>
      </c>
      <c r="G80" s="2" t="s">
        <v>141</v>
      </c>
      <c r="H80" s="1" t="s">
        <v>210</v>
      </c>
      <c r="I80" s="2" t="s">
        <v>234</v>
      </c>
      <c r="J80" s="1" t="s">
        <v>235</v>
      </c>
      <c r="K80" s="1"/>
      <c r="L80" s="2" t="s">
        <v>115</v>
      </c>
      <c r="M80" s="1">
        <v>1</v>
      </c>
      <c r="N80" s="10">
        <v>1</v>
      </c>
      <c r="O80" s="1">
        <v>0</v>
      </c>
      <c r="P80" s="1">
        <v>1</v>
      </c>
      <c r="Q80" t="s">
        <v>205</v>
      </c>
      <c r="R80" t="s">
        <v>205</v>
      </c>
      <c r="S80" s="1" t="s">
        <v>236</v>
      </c>
      <c r="T80" s="1" t="s">
        <v>237</v>
      </c>
    </row>
    <row r="81" spans="2:20" ht="15.75" hidden="1">
      <c r="B81" s="1" t="s">
        <v>3</v>
      </c>
      <c r="C81" s="6">
        <v>45870</v>
      </c>
      <c r="D81" s="9"/>
      <c r="E81" s="7">
        <v>45879</v>
      </c>
      <c r="F81" s="1" t="s">
        <v>209</v>
      </c>
      <c r="G81" s="2" t="s">
        <v>13</v>
      </c>
      <c r="H81" s="1" t="s">
        <v>238</v>
      </c>
      <c r="I81" s="2" t="s">
        <v>238</v>
      </c>
      <c r="J81" s="1" t="s">
        <v>21</v>
      </c>
      <c r="K81" s="1"/>
      <c r="L81" s="2" t="s">
        <v>21</v>
      </c>
      <c r="M81" s="1">
        <v>1</v>
      </c>
      <c r="N81" s="10">
        <v>1</v>
      </c>
      <c r="O81" s="1">
        <v>0</v>
      </c>
      <c r="P81" s="1">
        <v>1</v>
      </c>
      <c r="Q81" t="s">
        <v>205</v>
      </c>
      <c r="S81" s="1" t="s">
        <v>239</v>
      </c>
    </row>
    <row r="82" spans="2:20" ht="15.75" hidden="1">
      <c r="B82" s="1" t="s">
        <v>3</v>
      </c>
      <c r="C82" s="6">
        <v>45882</v>
      </c>
      <c r="D82" s="9"/>
      <c r="E82" s="7">
        <v>45882</v>
      </c>
      <c r="F82" s="1" t="s">
        <v>240</v>
      </c>
      <c r="G82" s="2" t="s">
        <v>33</v>
      </c>
      <c r="H82" s="1" t="s">
        <v>32</v>
      </c>
      <c r="I82" s="2" t="s">
        <v>241</v>
      </c>
      <c r="J82" s="1" t="s">
        <v>224</v>
      </c>
      <c r="K82" s="1"/>
      <c r="L82" s="2" t="s">
        <v>242</v>
      </c>
      <c r="M82" s="1">
        <v>2</v>
      </c>
      <c r="N82" s="10">
        <v>2</v>
      </c>
      <c r="O82" s="1">
        <v>0</v>
      </c>
      <c r="P82" s="1">
        <v>1</v>
      </c>
      <c r="Q82" t="s">
        <v>205</v>
      </c>
      <c r="S82">
        <v>13</v>
      </c>
    </row>
    <row r="83" spans="2:20" ht="15.75" hidden="1">
      <c r="B83" s="1" t="s">
        <v>24</v>
      </c>
      <c r="C83" s="7">
        <v>45888</v>
      </c>
      <c r="D83" s="9">
        <v>0.5625</v>
      </c>
      <c r="E83" s="7">
        <v>45888</v>
      </c>
      <c r="F83" s="1" t="s">
        <v>31</v>
      </c>
      <c r="G83" s="2" t="s">
        <v>74</v>
      </c>
      <c r="H83" s="1" t="s">
        <v>89</v>
      </c>
      <c r="I83" s="2" t="s">
        <v>243</v>
      </c>
      <c r="J83" s="1" t="s">
        <v>245</v>
      </c>
      <c r="K83" s="1"/>
      <c r="L83" s="2" t="s">
        <v>7</v>
      </c>
      <c r="M83" s="1">
        <v>3</v>
      </c>
      <c r="N83" s="10">
        <v>1</v>
      </c>
      <c r="O83" s="1">
        <v>2</v>
      </c>
      <c r="T83" t="s">
        <v>244</v>
      </c>
    </row>
    <row r="84" spans="2:20" ht="15.75" hidden="1">
      <c r="B84" s="1" t="s">
        <v>3</v>
      </c>
      <c r="C84" s="11">
        <v>45893</v>
      </c>
      <c r="D84" s="15">
        <v>0.95833333333333337</v>
      </c>
      <c r="E84" s="7">
        <v>45893</v>
      </c>
      <c r="F84" s="1" t="s">
        <v>31</v>
      </c>
      <c r="G84" s="2" t="s">
        <v>50</v>
      </c>
      <c r="H84" s="1" t="s">
        <v>114</v>
      </c>
      <c r="I84" s="2" t="s">
        <v>51</v>
      </c>
      <c r="J84" s="1" t="s">
        <v>21</v>
      </c>
      <c r="K84" s="1"/>
      <c r="M84" s="1">
        <v>1</v>
      </c>
      <c r="N84" s="10">
        <v>1</v>
      </c>
      <c r="O84" s="1">
        <v>0</v>
      </c>
      <c r="P84" s="1">
        <v>1</v>
      </c>
      <c r="Q84" t="s">
        <v>205</v>
      </c>
      <c r="S84" s="1" t="s">
        <v>248</v>
      </c>
      <c r="T84" t="s">
        <v>72</v>
      </c>
    </row>
    <row r="85" spans="2:20" ht="15.75" hidden="1">
      <c r="B85" s="1" t="s">
        <v>3</v>
      </c>
      <c r="C85" s="11">
        <v>45898</v>
      </c>
      <c r="E85" s="7">
        <v>45898</v>
      </c>
      <c r="F85" s="1" t="s">
        <v>34</v>
      </c>
      <c r="G85" s="2" t="s">
        <v>33</v>
      </c>
      <c r="H85" s="1" t="s">
        <v>157</v>
      </c>
      <c r="I85" s="2" t="s">
        <v>249</v>
      </c>
      <c r="J85" s="1" t="s">
        <v>21</v>
      </c>
      <c r="K85" s="1"/>
      <c r="L85" s="2" t="s">
        <v>7</v>
      </c>
      <c r="M85" s="1">
        <v>1</v>
      </c>
      <c r="N85" s="10">
        <v>1</v>
      </c>
      <c r="O85" s="1">
        <v>0</v>
      </c>
      <c r="P85" s="1">
        <v>1</v>
      </c>
      <c r="Q85" t="s">
        <v>205</v>
      </c>
      <c r="R85" t="s">
        <v>205</v>
      </c>
    </row>
    <row r="86" spans="2:20" ht="15.75" hidden="1">
      <c r="B86" s="1" t="s">
        <v>73</v>
      </c>
      <c r="C86" s="11">
        <v>45898</v>
      </c>
      <c r="D86" s="15">
        <v>0.3125</v>
      </c>
      <c r="E86" s="7">
        <v>45898</v>
      </c>
      <c r="F86" s="1" t="s">
        <v>119</v>
      </c>
      <c r="G86" s="2" t="s">
        <v>42</v>
      </c>
      <c r="H86" s="1" t="s">
        <v>250</v>
      </c>
      <c r="I86" s="2" t="s">
        <v>251</v>
      </c>
      <c r="J86" s="1" t="s">
        <v>21</v>
      </c>
      <c r="K86" s="1"/>
      <c r="L86" s="2" t="s">
        <v>7</v>
      </c>
      <c r="M86" s="1">
        <v>2</v>
      </c>
      <c r="N86" s="10">
        <v>0</v>
      </c>
      <c r="O86" s="1">
        <v>2</v>
      </c>
      <c r="P86" s="1">
        <v>0</v>
      </c>
    </row>
    <row r="87" spans="2:20" ht="15.75" hidden="1">
      <c r="B87" s="1" t="s">
        <v>3</v>
      </c>
      <c r="C87" s="11">
        <v>45891</v>
      </c>
      <c r="D87" s="15">
        <v>0.375</v>
      </c>
      <c r="E87" s="7">
        <v>45905</v>
      </c>
      <c r="F87" s="1" t="s">
        <v>253</v>
      </c>
      <c r="G87" s="2" t="s">
        <v>111</v>
      </c>
      <c r="H87" s="1" t="s">
        <v>252</v>
      </c>
      <c r="I87" s="2" t="s">
        <v>254</v>
      </c>
      <c r="J87" s="1" t="s">
        <v>127</v>
      </c>
      <c r="K87" s="1"/>
      <c r="L87" s="2" t="s">
        <v>115</v>
      </c>
      <c r="M87" s="1">
        <v>1</v>
      </c>
      <c r="N87" s="10">
        <v>1</v>
      </c>
      <c r="O87" s="1">
        <v>0</v>
      </c>
      <c r="P87" s="1">
        <v>1</v>
      </c>
      <c r="Q87" t="s">
        <v>205</v>
      </c>
      <c r="R87" t="s">
        <v>255</v>
      </c>
    </row>
    <row r="88" spans="2:20" ht="15.75" hidden="1">
      <c r="B88" s="1" t="s">
        <v>3</v>
      </c>
      <c r="C88" s="11">
        <v>45904</v>
      </c>
      <c r="D88" s="15">
        <v>0.66666666666666663</v>
      </c>
      <c r="E88" s="7">
        <v>45904</v>
      </c>
      <c r="F88" s="1" t="s">
        <v>256</v>
      </c>
      <c r="J88" s="1" t="s">
        <v>260</v>
      </c>
      <c r="K88" s="1"/>
      <c r="L88" s="2" t="s">
        <v>261</v>
      </c>
      <c r="N88" s="10">
        <v>1</v>
      </c>
      <c r="S88" t="s">
        <v>257</v>
      </c>
      <c r="T88" t="s">
        <v>258</v>
      </c>
    </row>
    <row r="89" spans="2:20" ht="15.75" hidden="1">
      <c r="B89" s="1" t="s">
        <v>259</v>
      </c>
      <c r="C89" s="11">
        <v>45904</v>
      </c>
      <c r="E89" s="7">
        <v>45904</v>
      </c>
      <c r="F89" s="1" t="s">
        <v>31</v>
      </c>
      <c r="G89" s="2" t="s">
        <v>26</v>
      </c>
      <c r="H89" s="1" t="s">
        <v>262</v>
      </c>
      <c r="I89" s="2" t="s">
        <v>263</v>
      </c>
      <c r="J89" s="1" t="s">
        <v>208</v>
      </c>
      <c r="K89" s="1"/>
      <c r="L89" s="2" t="s">
        <v>76</v>
      </c>
      <c r="M89" s="1">
        <v>7</v>
      </c>
      <c r="N89" s="10">
        <v>0</v>
      </c>
      <c r="O89" s="1">
        <v>7</v>
      </c>
      <c r="P89" s="1">
        <v>0</v>
      </c>
    </row>
    <row r="90" spans="2:20" ht="15.75" hidden="1">
      <c r="B90" s="1" t="s">
        <v>3</v>
      </c>
      <c r="C90" s="11">
        <v>45901</v>
      </c>
      <c r="E90" s="7">
        <v>45916</v>
      </c>
      <c r="F90" s="1" t="s">
        <v>31</v>
      </c>
      <c r="G90" s="2" t="s">
        <v>12</v>
      </c>
      <c r="H90" s="1" t="s">
        <v>9</v>
      </c>
      <c r="I90" s="2" t="s">
        <v>276</v>
      </c>
      <c r="J90" s="1" t="s">
        <v>21</v>
      </c>
      <c r="K90" s="1"/>
      <c r="L90" s="2" t="s">
        <v>21</v>
      </c>
      <c r="M90" s="1">
        <v>1</v>
      </c>
      <c r="N90" s="10">
        <v>1</v>
      </c>
      <c r="O90" s="1">
        <v>0</v>
      </c>
      <c r="P90" s="1">
        <v>0</v>
      </c>
      <c r="Q90" t="s">
        <v>205</v>
      </c>
      <c r="S90" t="s">
        <v>277</v>
      </c>
      <c r="T90" t="s">
        <v>197</v>
      </c>
    </row>
    <row r="91" spans="2:20" ht="15.75" hidden="1">
      <c r="B91" s="1" t="s">
        <v>3</v>
      </c>
      <c r="C91" s="11">
        <v>45911</v>
      </c>
      <c r="D91" s="15">
        <v>0.5</v>
      </c>
      <c r="E91" s="7">
        <v>45916</v>
      </c>
      <c r="F91" s="1" t="s">
        <v>278</v>
      </c>
      <c r="G91" s="2" t="s">
        <v>33</v>
      </c>
      <c r="H91" s="1" t="s">
        <v>32</v>
      </c>
      <c r="I91" s="2" t="s">
        <v>278</v>
      </c>
      <c r="J91" s="1" t="s">
        <v>21</v>
      </c>
      <c r="K91" s="1"/>
      <c r="L91" s="2" t="s">
        <v>21</v>
      </c>
      <c r="M91" s="1"/>
      <c r="N91" s="10">
        <v>1</v>
      </c>
      <c r="O91" s="1">
        <v>0</v>
      </c>
      <c r="P91" s="1">
        <v>1</v>
      </c>
    </row>
    <row r="92" spans="2:20" ht="15.75" hidden="1">
      <c r="B92" s="1" t="s">
        <v>3</v>
      </c>
      <c r="C92" s="11">
        <v>45919</v>
      </c>
      <c r="D92" s="15">
        <v>0.45833333333333331</v>
      </c>
      <c r="E92" s="7">
        <v>45919</v>
      </c>
      <c r="F92" s="1" t="s">
        <v>68</v>
      </c>
      <c r="G92" s="2" t="s">
        <v>13</v>
      </c>
      <c r="H92" s="1" t="s">
        <v>6</v>
      </c>
      <c r="I92" s="2" t="s">
        <v>279</v>
      </c>
      <c r="J92" s="1" t="s">
        <v>280</v>
      </c>
      <c r="K92" s="1"/>
      <c r="L92" s="2" t="s">
        <v>76</v>
      </c>
      <c r="N92" s="10">
        <v>7</v>
      </c>
      <c r="O92" s="1">
        <v>1</v>
      </c>
      <c r="P92" s="1">
        <v>7</v>
      </c>
      <c r="S92" t="s">
        <v>281</v>
      </c>
      <c r="T92" t="s">
        <v>282</v>
      </c>
    </row>
    <row r="93" spans="2:20" ht="15.75" hidden="1">
      <c r="B93" s="1" t="s">
        <v>60</v>
      </c>
      <c r="C93" s="11">
        <v>45919</v>
      </c>
      <c r="D93" s="15">
        <v>4.1666666666666664E-2</v>
      </c>
      <c r="E93" s="7">
        <v>45919</v>
      </c>
      <c r="F93" s="1" t="s">
        <v>31</v>
      </c>
      <c r="H93" s="1" t="s">
        <v>191</v>
      </c>
      <c r="I93" s="2" t="s">
        <v>283</v>
      </c>
      <c r="J93" s="1" t="s">
        <v>37</v>
      </c>
      <c r="K93" s="1"/>
      <c r="L93" s="2" t="s">
        <v>7</v>
      </c>
      <c r="M93">
        <v>2</v>
      </c>
      <c r="Q93" t="s">
        <v>64</v>
      </c>
      <c r="R93">
        <v>8000000</v>
      </c>
      <c r="S93" t="s">
        <v>284</v>
      </c>
      <c r="T93" t="s">
        <v>285</v>
      </c>
    </row>
    <row r="94" spans="2:20" ht="15.75" hidden="1">
      <c r="B94" s="1" t="s">
        <v>104</v>
      </c>
      <c r="C94" s="11">
        <v>45924</v>
      </c>
      <c r="D94" s="15">
        <v>0.58333333333333337</v>
      </c>
      <c r="E94" s="7">
        <v>45925</v>
      </c>
      <c r="F94" s="1" t="s">
        <v>34</v>
      </c>
      <c r="G94" s="2" t="s">
        <v>33</v>
      </c>
      <c r="H94" s="1" t="s">
        <v>32</v>
      </c>
      <c r="I94" s="2" t="s">
        <v>289</v>
      </c>
      <c r="J94" s="1" t="s">
        <v>37</v>
      </c>
      <c r="K94" s="1"/>
      <c r="L94" s="2" t="s">
        <v>7</v>
      </c>
      <c r="M94" s="1">
        <v>5</v>
      </c>
      <c r="N94" s="10">
        <v>1</v>
      </c>
      <c r="O94" s="1">
        <v>0</v>
      </c>
      <c r="P94" s="1">
        <v>0</v>
      </c>
    </row>
    <row r="95" spans="2:20" ht="15.75" hidden="1">
      <c r="B95" s="1" t="s">
        <v>3</v>
      </c>
      <c r="C95" s="11">
        <v>45925</v>
      </c>
      <c r="D95" s="15">
        <v>0.5</v>
      </c>
      <c r="E95" s="7">
        <v>45925</v>
      </c>
      <c r="F95" s="1" t="s">
        <v>31</v>
      </c>
      <c r="G95" s="2" t="s">
        <v>26</v>
      </c>
      <c r="H95" s="1" t="s">
        <v>262</v>
      </c>
      <c r="I95" s="2" t="s">
        <v>290</v>
      </c>
      <c r="J95" s="1" t="s">
        <v>291</v>
      </c>
      <c r="K95" s="1"/>
      <c r="L95" s="2" t="s">
        <v>76</v>
      </c>
      <c r="M95" s="1">
        <v>3</v>
      </c>
      <c r="N95" s="10">
        <v>1</v>
      </c>
      <c r="O95" s="1">
        <v>2</v>
      </c>
      <c r="P95" s="1">
        <v>1</v>
      </c>
      <c r="S95" t="s">
        <v>292</v>
      </c>
      <c r="T95" t="s">
        <v>293</v>
      </c>
    </row>
    <row r="96" spans="2:20" ht="15.75" hidden="1">
      <c r="B96" s="1" t="s">
        <v>3</v>
      </c>
      <c r="C96" s="11">
        <v>45935</v>
      </c>
      <c r="D96" s="15">
        <v>0.52083333333333337</v>
      </c>
      <c r="E96" s="7">
        <v>45936</v>
      </c>
      <c r="F96" s="1" t="s">
        <v>31</v>
      </c>
      <c r="G96" s="2" t="s">
        <v>74</v>
      </c>
      <c r="H96" s="1" t="s">
        <v>80</v>
      </c>
      <c r="I96" s="2" t="s">
        <v>80</v>
      </c>
      <c r="J96" s="1" t="s">
        <v>224</v>
      </c>
      <c r="K96" s="1"/>
      <c r="L96" s="2" t="s">
        <v>7</v>
      </c>
      <c r="M96" s="1">
        <v>2</v>
      </c>
      <c r="N96" s="10">
        <v>1</v>
      </c>
      <c r="O96" s="1">
        <v>0</v>
      </c>
      <c r="P96" s="1">
        <v>1</v>
      </c>
    </row>
    <row r="97" spans="2:20" ht="15.75" hidden="1">
      <c r="B97" s="1" t="s">
        <v>3</v>
      </c>
      <c r="C97" s="11">
        <v>45935</v>
      </c>
      <c r="D97" s="15">
        <v>0.59027777777777779</v>
      </c>
      <c r="E97" s="7">
        <v>45935</v>
      </c>
      <c r="F97" s="1" t="s">
        <v>31</v>
      </c>
      <c r="G97" s="2" t="s">
        <v>141</v>
      </c>
      <c r="H97" s="1" t="s">
        <v>210</v>
      </c>
      <c r="I97" s="2" t="s">
        <v>294</v>
      </c>
      <c r="J97" s="1" t="s">
        <v>295</v>
      </c>
      <c r="K97" s="1"/>
      <c r="L97" s="2" t="s">
        <v>76</v>
      </c>
      <c r="M97" s="1">
        <v>4</v>
      </c>
      <c r="N97" s="10">
        <v>2</v>
      </c>
      <c r="O97" s="1">
        <v>2</v>
      </c>
    </row>
    <row r="98" spans="2:20" ht="15.75" hidden="1">
      <c r="B98" s="1" t="s">
        <v>3</v>
      </c>
      <c r="C98" s="11">
        <v>45937</v>
      </c>
      <c r="D98" s="15">
        <v>0.45833333333333331</v>
      </c>
      <c r="E98" s="7">
        <v>45937</v>
      </c>
      <c r="F98" s="1" t="s">
        <v>31</v>
      </c>
      <c r="G98" s="2" t="s">
        <v>26</v>
      </c>
      <c r="H98" s="1" t="s">
        <v>262</v>
      </c>
      <c r="I98" s="2" t="s">
        <v>296</v>
      </c>
      <c r="J98" s="1" t="s">
        <v>224</v>
      </c>
      <c r="K98" s="1"/>
      <c r="L98" s="2" t="s">
        <v>7</v>
      </c>
      <c r="M98" s="1">
        <v>2</v>
      </c>
      <c r="N98" s="10">
        <v>2</v>
      </c>
      <c r="O98" s="1">
        <v>0</v>
      </c>
      <c r="P98" s="1">
        <v>1</v>
      </c>
      <c r="S98" t="s">
        <v>297</v>
      </c>
      <c r="T98" t="s">
        <v>298</v>
      </c>
    </row>
    <row r="99" spans="2:20" ht="15.75" hidden="1">
      <c r="B99" s="1" t="s">
        <v>3</v>
      </c>
      <c r="C99" s="11">
        <v>45941</v>
      </c>
      <c r="E99" s="7">
        <v>45941</v>
      </c>
      <c r="F99" s="1" t="s">
        <v>209</v>
      </c>
      <c r="G99" s="2" t="s">
        <v>141</v>
      </c>
      <c r="H99" s="1" t="s">
        <v>210</v>
      </c>
      <c r="I99" s="2" t="s">
        <v>299</v>
      </c>
      <c r="J99" s="1" t="s">
        <v>300</v>
      </c>
      <c r="K99" s="1"/>
      <c r="L99" s="2" t="s">
        <v>301</v>
      </c>
      <c r="M99" s="1">
        <v>1</v>
      </c>
      <c r="N99" s="10">
        <v>1</v>
      </c>
      <c r="O99" s="1">
        <v>0</v>
      </c>
      <c r="P99" s="1">
        <v>1</v>
      </c>
    </row>
    <row r="100" spans="2:20" ht="15.75" hidden="1">
      <c r="B100" s="1" t="s">
        <v>60</v>
      </c>
      <c r="C100" s="11">
        <v>45937</v>
      </c>
      <c r="D100" s="15">
        <v>4.1666666666666664E-2</v>
      </c>
      <c r="E100" s="7">
        <v>45940</v>
      </c>
      <c r="F100" s="1" t="s">
        <v>31</v>
      </c>
      <c r="G100" s="2" t="s">
        <v>302</v>
      </c>
      <c r="H100" s="1" t="s">
        <v>176</v>
      </c>
      <c r="I100" s="2" t="s">
        <v>303</v>
      </c>
      <c r="J100" s="1" t="s">
        <v>37</v>
      </c>
      <c r="K100" s="1"/>
      <c r="L100" s="2" t="s">
        <v>7</v>
      </c>
      <c r="M100" s="1">
        <v>3</v>
      </c>
      <c r="Q100" t="s">
        <v>304</v>
      </c>
      <c r="S100" t="s">
        <v>305</v>
      </c>
      <c r="T100" t="s">
        <v>306</v>
      </c>
    </row>
    <row r="101" spans="2:20" ht="15.75" hidden="1">
      <c r="B101" s="1" t="s">
        <v>104</v>
      </c>
      <c r="C101" s="11">
        <v>45944</v>
      </c>
      <c r="D101" s="15">
        <v>0.41666666666666669</v>
      </c>
      <c r="E101" s="7">
        <v>45944</v>
      </c>
      <c r="F101" s="1" t="s">
        <v>68</v>
      </c>
      <c r="G101" s="2" t="s">
        <v>13</v>
      </c>
      <c r="J101" s="1" t="s">
        <v>17</v>
      </c>
      <c r="K101" s="1"/>
      <c r="L101" s="2" t="s">
        <v>7</v>
      </c>
      <c r="M101" s="1">
        <v>1</v>
      </c>
      <c r="N101" s="10">
        <v>1</v>
      </c>
      <c r="P101" s="1">
        <v>1</v>
      </c>
      <c r="S101" t="s">
        <v>307</v>
      </c>
    </row>
    <row r="102" spans="2:20" ht="15.75" hidden="1">
      <c r="B102" s="1" t="s">
        <v>3</v>
      </c>
      <c r="C102" s="11">
        <v>45945</v>
      </c>
      <c r="D102" s="15">
        <v>0.95833333333333337</v>
      </c>
      <c r="E102" s="7">
        <v>45945</v>
      </c>
      <c r="F102" s="1" t="s">
        <v>68</v>
      </c>
      <c r="G102" s="2" t="s">
        <v>13</v>
      </c>
      <c r="H102" s="1" t="s">
        <v>14</v>
      </c>
      <c r="I102" s="2" t="s">
        <v>14</v>
      </c>
      <c r="J102" s="1" t="s">
        <v>21</v>
      </c>
      <c r="K102" s="1"/>
      <c r="L102" s="2" t="s">
        <v>7</v>
      </c>
      <c r="M102" s="1">
        <v>2</v>
      </c>
      <c r="N102" s="10">
        <v>1</v>
      </c>
      <c r="P102" s="1">
        <v>1</v>
      </c>
      <c r="S102" t="s">
        <v>308</v>
      </c>
      <c r="T102" t="s">
        <v>14</v>
      </c>
    </row>
    <row r="103" spans="2:20" ht="15.75" hidden="1">
      <c r="B103" s="1" t="s">
        <v>3</v>
      </c>
      <c r="C103" s="11">
        <v>45955</v>
      </c>
      <c r="E103" s="7">
        <v>45955</v>
      </c>
      <c r="F103" s="1" t="s">
        <v>31</v>
      </c>
      <c r="G103" s="2" t="s">
        <v>26</v>
      </c>
      <c r="H103" s="1" t="s">
        <v>27</v>
      </c>
      <c r="I103" s="2" t="s">
        <v>27</v>
      </c>
      <c r="J103" s="1" t="s">
        <v>21</v>
      </c>
      <c r="K103" s="1"/>
      <c r="M103" s="1">
        <v>1</v>
      </c>
      <c r="N103" s="10">
        <v>1</v>
      </c>
      <c r="O103">
        <v>0</v>
      </c>
      <c r="P103" s="1">
        <v>1</v>
      </c>
    </row>
    <row r="104" spans="2:20" ht="15.75" hidden="1">
      <c r="B104" s="1" t="s">
        <v>3</v>
      </c>
      <c r="C104" s="11">
        <v>45931</v>
      </c>
      <c r="E104" s="6">
        <v>45931</v>
      </c>
      <c r="F104" s="1" t="s">
        <v>209</v>
      </c>
      <c r="L104" s="2" t="s">
        <v>310</v>
      </c>
      <c r="M104" s="1">
        <v>1</v>
      </c>
      <c r="N104" s="10">
        <v>1</v>
      </c>
      <c r="O104">
        <v>0</v>
      </c>
      <c r="P104" s="1">
        <v>1</v>
      </c>
    </row>
    <row r="105" spans="2:20" ht="15.75" hidden="1">
      <c r="B105" s="1" t="s">
        <v>3</v>
      </c>
      <c r="C105" s="11">
        <v>45931</v>
      </c>
      <c r="E105" s="6">
        <v>45931</v>
      </c>
      <c r="F105" s="1" t="s">
        <v>309</v>
      </c>
      <c r="L105" s="2" t="s">
        <v>261</v>
      </c>
      <c r="M105" s="1">
        <v>1</v>
      </c>
      <c r="N105" s="10">
        <v>1</v>
      </c>
      <c r="O105">
        <v>0</v>
      </c>
      <c r="P105" s="1">
        <v>1</v>
      </c>
    </row>
    <row r="106" spans="2:20" ht="15.75" hidden="1">
      <c r="B106" s="1" t="s">
        <v>259</v>
      </c>
      <c r="C106" s="11">
        <v>45956</v>
      </c>
      <c r="E106" s="7">
        <v>45956</v>
      </c>
      <c r="F106" s="1" t="s">
        <v>31</v>
      </c>
      <c r="G106" s="2" t="s">
        <v>50</v>
      </c>
      <c r="H106" t="s">
        <v>88</v>
      </c>
      <c r="I106" t="s">
        <v>88</v>
      </c>
      <c r="J106" s="1" t="s">
        <v>311</v>
      </c>
      <c r="K106" s="1"/>
      <c r="L106" s="2" t="s">
        <v>76</v>
      </c>
      <c r="M106" s="1">
        <v>5</v>
      </c>
      <c r="N106" s="10">
        <v>0</v>
      </c>
      <c r="O106">
        <v>5</v>
      </c>
      <c r="P106" s="1">
        <v>0</v>
      </c>
      <c r="T106" t="s">
        <v>312</v>
      </c>
    </row>
    <row r="107" spans="2:20" ht="15.75" hidden="1">
      <c r="B107" s="1" t="s">
        <v>3</v>
      </c>
      <c r="E107" s="7">
        <v>45952</v>
      </c>
      <c r="F107" s="1" t="s">
        <v>31</v>
      </c>
      <c r="G107" s="2" t="s">
        <v>141</v>
      </c>
      <c r="H107" t="s">
        <v>142</v>
      </c>
      <c r="I107" t="s">
        <v>313</v>
      </c>
      <c r="J107" s="1" t="s">
        <v>21</v>
      </c>
      <c r="K107" s="1"/>
      <c r="L107" s="2" t="s">
        <v>21</v>
      </c>
      <c r="M107" s="1">
        <v>1</v>
      </c>
      <c r="N107" s="10">
        <v>1</v>
      </c>
      <c r="O107">
        <v>0</v>
      </c>
      <c r="P107" s="1">
        <v>1</v>
      </c>
      <c r="S107" t="s">
        <v>314</v>
      </c>
      <c r="T107" t="s">
        <v>315</v>
      </c>
    </row>
    <row r="108" spans="2:20" ht="15.75" hidden="1">
      <c r="B108" s="1" t="s">
        <v>3</v>
      </c>
      <c r="C108" s="11">
        <v>45956</v>
      </c>
      <c r="D108" s="15">
        <v>0.47916666666666669</v>
      </c>
      <c r="E108" s="7">
        <v>45956</v>
      </c>
      <c r="F108" s="1" t="s">
        <v>31</v>
      </c>
      <c r="G108" s="2" t="s">
        <v>12</v>
      </c>
      <c r="H108" t="s">
        <v>9</v>
      </c>
      <c r="I108" t="s">
        <v>9</v>
      </c>
      <c r="J108" s="1"/>
      <c r="K108" s="1"/>
      <c r="L108" s="2" t="s">
        <v>115</v>
      </c>
      <c r="M108" s="1">
        <v>1</v>
      </c>
      <c r="N108" s="10">
        <v>1</v>
      </c>
      <c r="O108">
        <v>0</v>
      </c>
      <c r="P108" s="1">
        <v>1</v>
      </c>
      <c r="S108" t="s">
        <v>316</v>
      </c>
      <c r="T108" t="s">
        <v>197</v>
      </c>
    </row>
    <row r="109" spans="2:20" ht="15.75" hidden="1">
      <c r="B109" s="1" t="s">
        <v>3</v>
      </c>
      <c r="C109" s="11">
        <v>45955</v>
      </c>
      <c r="E109" s="7">
        <v>45955</v>
      </c>
      <c r="F109" s="1" t="s">
        <v>31</v>
      </c>
      <c r="G109" s="2" t="s">
        <v>26</v>
      </c>
      <c r="H109" t="s">
        <v>27</v>
      </c>
      <c r="I109" t="s">
        <v>317</v>
      </c>
      <c r="J109" t="s">
        <v>21</v>
      </c>
      <c r="L109" s="2" t="s">
        <v>21</v>
      </c>
      <c r="M109" s="1">
        <v>1</v>
      </c>
      <c r="N109" s="10">
        <v>1</v>
      </c>
      <c r="O109">
        <v>0</v>
      </c>
      <c r="P109" s="1">
        <v>1</v>
      </c>
      <c r="S109" t="s">
        <v>318</v>
      </c>
      <c r="T109" t="s">
        <v>319</v>
      </c>
    </row>
    <row r="110" spans="2:20" ht="15.75" hidden="1">
      <c r="B110" s="1" t="s">
        <v>3</v>
      </c>
      <c r="C110" s="11">
        <v>45945</v>
      </c>
      <c r="D110" s="15">
        <v>0.54166666666666663</v>
      </c>
      <c r="E110" s="7">
        <v>45945</v>
      </c>
      <c r="F110" s="1" t="s">
        <v>31</v>
      </c>
      <c r="G110" s="2" t="s">
        <v>26</v>
      </c>
      <c r="H110" t="s">
        <v>123</v>
      </c>
      <c r="I110" t="s">
        <v>320</v>
      </c>
      <c r="J110" s="1" t="s">
        <v>127</v>
      </c>
      <c r="K110" s="1"/>
      <c r="L110" s="2" t="s">
        <v>261</v>
      </c>
      <c r="M110" s="1">
        <v>1</v>
      </c>
      <c r="N110" s="10">
        <v>1</v>
      </c>
      <c r="O110">
        <v>0</v>
      </c>
      <c r="S110" t="s">
        <v>321</v>
      </c>
      <c r="T110" t="s">
        <v>322</v>
      </c>
    </row>
    <row r="111" spans="2:20" ht="15.75" hidden="1">
      <c r="B111" s="1" t="s">
        <v>3</v>
      </c>
      <c r="C111" s="11">
        <v>45948</v>
      </c>
      <c r="D111" s="15">
        <v>0.45833333333333331</v>
      </c>
      <c r="E111" s="7">
        <v>45948</v>
      </c>
      <c r="F111" s="1" t="s">
        <v>209</v>
      </c>
      <c r="I111" t="s">
        <v>323</v>
      </c>
      <c r="J111" s="1" t="s">
        <v>127</v>
      </c>
      <c r="K111" s="1"/>
      <c r="L111" s="2" t="s">
        <v>261</v>
      </c>
      <c r="M111" s="1">
        <v>1</v>
      </c>
      <c r="N111" s="10">
        <v>1</v>
      </c>
      <c r="O111">
        <v>0</v>
      </c>
      <c r="P111" s="1">
        <v>1</v>
      </c>
      <c r="S111" t="s">
        <v>324</v>
      </c>
      <c r="T111" t="s">
        <v>325</v>
      </c>
    </row>
    <row r="112" spans="2:20" ht="15.75" hidden="1">
      <c r="B112" s="1" t="s">
        <v>3</v>
      </c>
      <c r="C112" s="11">
        <v>45966</v>
      </c>
      <c r="D112" t="s">
        <v>25</v>
      </c>
      <c r="E112" s="7">
        <v>45966</v>
      </c>
      <c r="F112" s="1" t="s">
        <v>68</v>
      </c>
      <c r="G112" s="2" t="s">
        <v>13</v>
      </c>
      <c r="H112" t="s">
        <v>198</v>
      </c>
      <c r="I112" t="s">
        <v>326</v>
      </c>
      <c r="J112" s="1" t="s">
        <v>21</v>
      </c>
      <c r="K112" s="1"/>
      <c r="L112" s="2" t="s">
        <v>21</v>
      </c>
      <c r="M112" s="1">
        <v>1</v>
      </c>
      <c r="N112" s="10">
        <v>1</v>
      </c>
      <c r="O112">
        <v>0</v>
      </c>
      <c r="P112" s="1">
        <v>1</v>
      </c>
      <c r="S112" t="s">
        <v>327</v>
      </c>
      <c r="T112" t="s">
        <v>328</v>
      </c>
    </row>
    <row r="113" spans="1:20" ht="15.75" hidden="1">
      <c r="B113" s="1" t="s">
        <v>45</v>
      </c>
      <c r="C113" s="11">
        <v>45967</v>
      </c>
      <c r="E113" s="7">
        <v>45967</v>
      </c>
      <c r="F113" s="1" t="s">
        <v>31</v>
      </c>
      <c r="G113" s="2" t="s">
        <v>12</v>
      </c>
      <c r="H113" t="s">
        <v>176</v>
      </c>
      <c r="J113" s="1" t="s">
        <v>37</v>
      </c>
      <c r="K113" s="1"/>
      <c r="L113" s="2" t="s">
        <v>7</v>
      </c>
      <c r="M113" s="1">
        <v>2</v>
      </c>
      <c r="N113" s="10">
        <v>2</v>
      </c>
      <c r="O113">
        <v>0</v>
      </c>
      <c r="P113" s="1">
        <v>0</v>
      </c>
      <c r="Q113" t="s">
        <v>64</v>
      </c>
      <c r="R113" t="s">
        <v>329</v>
      </c>
      <c r="S113" t="s">
        <v>330</v>
      </c>
      <c r="T113" t="s">
        <v>331</v>
      </c>
    </row>
    <row r="114" spans="1:20" ht="15.75" hidden="1">
      <c r="B114" s="1" t="s">
        <v>3</v>
      </c>
      <c r="C114" s="11">
        <v>45967</v>
      </c>
      <c r="E114" s="7">
        <v>45967</v>
      </c>
      <c r="F114" s="1" t="s">
        <v>31</v>
      </c>
      <c r="G114" s="2" t="s">
        <v>141</v>
      </c>
      <c r="H114" t="s">
        <v>238</v>
      </c>
      <c r="I114" t="s">
        <v>238</v>
      </c>
      <c r="J114" s="1" t="s">
        <v>21</v>
      </c>
      <c r="K114" s="1"/>
      <c r="L114" s="2" t="s">
        <v>21</v>
      </c>
      <c r="M114" s="1">
        <v>1</v>
      </c>
      <c r="N114" s="10">
        <v>1</v>
      </c>
      <c r="O114">
        <v>0</v>
      </c>
      <c r="P114" s="1">
        <v>1</v>
      </c>
      <c r="S114" t="s">
        <v>332</v>
      </c>
      <c r="T114" t="s">
        <v>333</v>
      </c>
    </row>
    <row r="115" spans="1:20" ht="15.75" hidden="1">
      <c r="B115" s="1" t="s">
        <v>334</v>
      </c>
      <c r="C115" s="11">
        <v>45968</v>
      </c>
      <c r="E115" s="7">
        <v>45968</v>
      </c>
      <c r="F115" s="1" t="s">
        <v>68</v>
      </c>
      <c r="G115" s="2" t="s">
        <v>13</v>
      </c>
      <c r="H115" t="s">
        <v>335</v>
      </c>
      <c r="J115" s="1" t="s">
        <v>291</v>
      </c>
      <c r="K115" s="1"/>
    </row>
    <row r="116" spans="1:20" ht="15.75" hidden="1">
      <c r="B116" s="1" t="s">
        <v>3</v>
      </c>
      <c r="C116" s="11">
        <v>45973</v>
      </c>
      <c r="F116" s="1" t="s">
        <v>68</v>
      </c>
      <c r="G116" s="2" t="s">
        <v>13</v>
      </c>
      <c r="I116" t="s">
        <v>105</v>
      </c>
      <c r="M116" s="1">
        <v>1</v>
      </c>
      <c r="N116" s="10">
        <v>1</v>
      </c>
      <c r="O116">
        <v>0</v>
      </c>
      <c r="P116" s="1">
        <v>1</v>
      </c>
    </row>
    <row r="117" spans="1:20" ht="15.75" hidden="1">
      <c r="B117" s="1" t="s">
        <v>3</v>
      </c>
      <c r="C117" s="11">
        <v>45977</v>
      </c>
      <c r="D117" s="15">
        <v>0.66666666666666663</v>
      </c>
      <c r="F117" s="1" t="s">
        <v>336</v>
      </c>
      <c r="G117" s="2" t="s">
        <v>111</v>
      </c>
      <c r="H117" t="s">
        <v>136</v>
      </c>
      <c r="I117" t="s">
        <v>136</v>
      </c>
      <c r="J117" s="1" t="s">
        <v>337</v>
      </c>
      <c r="K117" s="1"/>
      <c r="L117" s="2" t="s">
        <v>21</v>
      </c>
      <c r="M117" s="1">
        <v>1</v>
      </c>
      <c r="N117" s="10">
        <v>1</v>
      </c>
      <c r="O117">
        <v>0</v>
      </c>
      <c r="P117" s="1">
        <v>1</v>
      </c>
      <c r="S117" t="s">
        <v>338</v>
      </c>
      <c r="T117" t="s">
        <v>339</v>
      </c>
    </row>
    <row r="118" spans="1:20" ht="15.75" hidden="1">
      <c r="B118" s="1" t="s">
        <v>3</v>
      </c>
      <c r="C118" s="11">
        <v>45978</v>
      </c>
      <c r="F118" s="1" t="s">
        <v>31</v>
      </c>
      <c r="G118" s="2" t="s">
        <v>74</v>
      </c>
      <c r="H118" t="s">
        <v>80</v>
      </c>
      <c r="I118" t="s">
        <v>80</v>
      </c>
      <c r="J118" s="1" t="s">
        <v>21</v>
      </c>
      <c r="K118" s="1"/>
      <c r="M118" s="1">
        <v>1</v>
      </c>
      <c r="N118" s="10">
        <v>1</v>
      </c>
      <c r="O118">
        <v>0</v>
      </c>
      <c r="P118" s="1">
        <v>1</v>
      </c>
    </row>
    <row r="119" spans="1:20" ht="15.75" hidden="1">
      <c r="B119" s="1" t="s">
        <v>3</v>
      </c>
      <c r="C119" s="11">
        <v>45982</v>
      </c>
      <c r="D119" s="15">
        <v>0.3743055555555555</v>
      </c>
      <c r="E119" s="7">
        <v>45982</v>
      </c>
      <c r="F119" s="1" t="s">
        <v>340</v>
      </c>
      <c r="I119" t="s">
        <v>375</v>
      </c>
      <c r="J119" s="1" t="s">
        <v>115</v>
      </c>
      <c r="K119" s="1"/>
      <c r="L119" t="s">
        <v>115</v>
      </c>
      <c r="M119" s="1">
        <v>1</v>
      </c>
      <c r="N119" s="10">
        <v>1</v>
      </c>
      <c r="O119">
        <v>0</v>
      </c>
      <c r="P119" s="1">
        <v>1</v>
      </c>
    </row>
    <row r="120" spans="1:20" ht="15.75" hidden="1">
      <c r="B120" s="1" t="s">
        <v>3</v>
      </c>
      <c r="C120" s="11">
        <v>45993</v>
      </c>
      <c r="E120" s="7">
        <v>45993</v>
      </c>
      <c r="F120" s="1" t="s">
        <v>31</v>
      </c>
      <c r="H120" t="s">
        <v>341</v>
      </c>
      <c r="I120" t="s">
        <v>341</v>
      </c>
      <c r="J120" s="1" t="s">
        <v>21</v>
      </c>
      <c r="K120" s="1"/>
      <c r="L120" t="s">
        <v>7</v>
      </c>
      <c r="M120" s="1">
        <v>2</v>
      </c>
      <c r="N120" s="10">
        <v>1</v>
      </c>
      <c r="O120">
        <v>1</v>
      </c>
      <c r="P120" s="1">
        <v>1</v>
      </c>
      <c r="S120" t="s">
        <v>342</v>
      </c>
      <c r="T120" t="s">
        <v>343</v>
      </c>
    </row>
    <row r="121" spans="1:20" ht="15.75" hidden="1">
      <c r="B121" s="1" t="s">
        <v>60</v>
      </c>
      <c r="C121" s="11">
        <v>45991</v>
      </c>
      <c r="D121" s="15">
        <v>0.8125</v>
      </c>
      <c r="E121" s="7">
        <v>45992</v>
      </c>
      <c r="F121" s="1" t="s">
        <v>31</v>
      </c>
      <c r="G121" s="2" t="s">
        <v>50</v>
      </c>
      <c r="H121" t="s">
        <v>88</v>
      </c>
      <c r="I121" t="s">
        <v>344</v>
      </c>
      <c r="J121" s="1" t="s">
        <v>37</v>
      </c>
      <c r="K121" s="1"/>
      <c r="L121" t="s">
        <v>7</v>
      </c>
      <c r="M121" s="1">
        <v>2</v>
      </c>
      <c r="Q121" t="s">
        <v>345</v>
      </c>
      <c r="S121" t="s">
        <v>346</v>
      </c>
      <c r="T121" t="s">
        <v>347</v>
      </c>
    </row>
    <row r="122" spans="1:20" ht="15.75" hidden="1">
      <c r="B122" s="1" t="s">
        <v>60</v>
      </c>
      <c r="C122" s="11">
        <v>45991</v>
      </c>
      <c r="E122" s="7">
        <v>45992</v>
      </c>
      <c r="F122" s="1" t="s">
        <v>31</v>
      </c>
      <c r="G122" s="2" t="s">
        <v>50</v>
      </c>
      <c r="H122" t="s">
        <v>88</v>
      </c>
      <c r="I122" t="s">
        <v>344</v>
      </c>
      <c r="J122" s="1" t="s">
        <v>37</v>
      </c>
      <c r="K122" s="1"/>
      <c r="L122" t="s">
        <v>7</v>
      </c>
      <c r="M122" s="1">
        <v>2</v>
      </c>
      <c r="Q122" t="s">
        <v>348</v>
      </c>
      <c r="S122" t="s">
        <v>349</v>
      </c>
      <c r="T122" t="s">
        <v>347</v>
      </c>
    </row>
    <row r="123" spans="1:20" ht="15.75" hidden="1">
      <c r="B123" s="1" t="s">
        <v>3</v>
      </c>
      <c r="C123" s="11">
        <v>45998</v>
      </c>
      <c r="D123" s="15">
        <v>0.85416666666666663</v>
      </c>
      <c r="E123" s="7">
        <v>45998</v>
      </c>
      <c r="F123" s="1" t="s">
        <v>31</v>
      </c>
      <c r="G123" s="2" t="s">
        <v>111</v>
      </c>
      <c r="H123" t="s">
        <v>350</v>
      </c>
      <c r="I123" t="s">
        <v>351</v>
      </c>
      <c r="J123" s="1" t="s">
        <v>113</v>
      </c>
      <c r="K123" s="1"/>
      <c r="L123" t="s">
        <v>7</v>
      </c>
      <c r="M123" s="1">
        <v>2</v>
      </c>
      <c r="N123" s="10">
        <v>2</v>
      </c>
      <c r="O123">
        <v>0</v>
      </c>
      <c r="P123" s="1">
        <v>2</v>
      </c>
      <c r="S123" t="s">
        <v>352</v>
      </c>
    </row>
    <row r="124" spans="1:20" ht="15.75" hidden="1">
      <c r="B124" s="1" t="s">
        <v>3</v>
      </c>
      <c r="C124" s="11">
        <v>45999</v>
      </c>
      <c r="D124" s="15">
        <v>0.625</v>
      </c>
      <c r="E124" s="7">
        <v>45999</v>
      </c>
      <c r="F124" s="1" t="s">
        <v>31</v>
      </c>
      <c r="G124" s="2" t="s">
        <v>50</v>
      </c>
      <c r="H124" t="s">
        <v>114</v>
      </c>
      <c r="I124" t="s">
        <v>353</v>
      </c>
      <c r="J124" s="1" t="s">
        <v>224</v>
      </c>
      <c r="K124" s="1"/>
      <c r="L124" t="s">
        <v>7</v>
      </c>
      <c r="M124" s="1">
        <v>2</v>
      </c>
      <c r="N124" s="10">
        <v>1</v>
      </c>
      <c r="O124">
        <v>0</v>
      </c>
      <c r="P124" s="1">
        <v>1</v>
      </c>
      <c r="S124" t="s">
        <v>354</v>
      </c>
      <c r="T124" t="s">
        <v>147</v>
      </c>
    </row>
    <row r="125" spans="1:20" ht="15.75" hidden="1">
      <c r="B125" s="1" t="s">
        <v>3</v>
      </c>
      <c r="C125" s="11">
        <v>46000</v>
      </c>
      <c r="F125" s="1" t="s">
        <v>31</v>
      </c>
      <c r="G125" s="2" t="s">
        <v>141</v>
      </c>
      <c r="I125" t="s">
        <v>355</v>
      </c>
    </row>
    <row r="126" spans="1:20" ht="15.75" hidden="1">
      <c r="B126" s="1" t="s">
        <v>3</v>
      </c>
      <c r="C126" s="11">
        <v>45993</v>
      </c>
      <c r="D126" s="15">
        <v>0.625</v>
      </c>
      <c r="E126" s="7">
        <v>45993</v>
      </c>
      <c r="F126" s="1" t="s">
        <v>68</v>
      </c>
      <c r="G126" s="2" t="s">
        <v>13</v>
      </c>
      <c r="H126" t="s">
        <v>198</v>
      </c>
      <c r="I126" t="s">
        <v>198</v>
      </c>
      <c r="J126" s="1" t="s">
        <v>356</v>
      </c>
      <c r="K126" s="1"/>
      <c r="L126" t="s">
        <v>76</v>
      </c>
      <c r="M126" s="1">
        <v>1</v>
      </c>
      <c r="N126">
        <v>1</v>
      </c>
      <c r="O126">
        <v>0</v>
      </c>
      <c r="P126">
        <v>1</v>
      </c>
      <c r="S126" t="s">
        <v>357</v>
      </c>
      <c r="T126" t="s">
        <v>200</v>
      </c>
    </row>
    <row r="127" spans="1:20" ht="16.5" hidden="1">
      <c r="B127" s="1" t="s">
        <v>3</v>
      </c>
      <c r="C127" s="11">
        <v>45982</v>
      </c>
      <c r="E127" s="7">
        <v>45982</v>
      </c>
      <c r="F127" s="1" t="s">
        <v>93</v>
      </c>
      <c r="J127" s="1" t="s">
        <v>21</v>
      </c>
      <c r="K127" s="1"/>
      <c r="L127" t="s">
        <v>21</v>
      </c>
      <c r="M127" s="1">
        <v>1</v>
      </c>
      <c r="N127">
        <v>1</v>
      </c>
      <c r="O127">
        <v>0</v>
      </c>
      <c r="P127">
        <v>1</v>
      </c>
      <c r="S127" t="s">
        <v>358</v>
      </c>
      <c r="T127" t="s">
        <v>359</v>
      </c>
    </row>
    <row r="128" spans="1:20" ht="39" hidden="1" thickBot="1">
      <c r="A128" s="18" t="s">
        <v>360</v>
      </c>
      <c r="B128" s="19" t="s">
        <v>3</v>
      </c>
      <c r="C128" s="23" t="s">
        <v>361</v>
      </c>
      <c r="D128" s="21">
        <v>0.20833333333333334</v>
      </c>
      <c r="E128" s="20" t="s">
        <v>361</v>
      </c>
      <c r="F128" s="19" t="s">
        <v>362</v>
      </c>
      <c r="G128" s="19" t="s">
        <v>42</v>
      </c>
      <c r="H128" s="19" t="s">
        <v>250</v>
      </c>
      <c r="I128" s="19" t="s">
        <v>363</v>
      </c>
      <c r="J128" s="19" t="s">
        <v>224</v>
      </c>
      <c r="K128" s="19"/>
      <c r="L128" s="19" t="s">
        <v>7</v>
      </c>
      <c r="M128" s="19">
        <v>2</v>
      </c>
      <c r="N128" s="19">
        <v>1</v>
      </c>
      <c r="O128" s="19">
        <v>1</v>
      </c>
      <c r="P128" s="19">
        <v>1</v>
      </c>
      <c r="Q128" s="19" t="s">
        <v>364</v>
      </c>
      <c r="R128" s="19" t="s">
        <v>192</v>
      </c>
      <c r="S128" s="19" t="s">
        <v>365</v>
      </c>
    </row>
    <row r="130" spans="2:20" ht="15.75">
      <c r="B130" s="22" t="s">
        <v>60</v>
      </c>
      <c r="C130" s="11">
        <v>46014</v>
      </c>
      <c r="D130" s="15">
        <v>0.83333333333333337</v>
      </c>
      <c r="E130" s="7">
        <v>46016</v>
      </c>
      <c r="F130" s="22" t="s">
        <v>31</v>
      </c>
      <c r="G130" t="s">
        <v>50</v>
      </c>
      <c r="H130" t="s">
        <v>88</v>
      </c>
      <c r="I130" t="s">
        <v>366</v>
      </c>
      <c r="J130" t="s">
        <v>367</v>
      </c>
      <c r="L130" t="s">
        <v>7</v>
      </c>
      <c r="M130">
        <v>2</v>
      </c>
      <c r="Q130" t="s">
        <v>368</v>
      </c>
      <c r="R130">
        <v>8500000</v>
      </c>
      <c r="S130" t="s">
        <v>369</v>
      </c>
      <c r="T130" t="s">
        <v>370</v>
      </c>
    </row>
    <row r="131" spans="2:20" ht="15.75">
      <c r="B131" s="22" t="s">
        <v>60</v>
      </c>
      <c r="C131" s="11">
        <v>46019</v>
      </c>
      <c r="D131" s="15">
        <v>0.83333333333333337</v>
      </c>
      <c r="E131" s="7">
        <v>46020</v>
      </c>
      <c r="F131" s="22" t="s">
        <v>31</v>
      </c>
      <c r="G131" t="s">
        <v>111</v>
      </c>
      <c r="H131" t="s">
        <v>252</v>
      </c>
      <c r="I131" t="s">
        <v>371</v>
      </c>
      <c r="J131" t="s">
        <v>367</v>
      </c>
      <c r="L131" t="s">
        <v>7</v>
      </c>
      <c r="M131">
        <v>1</v>
      </c>
      <c r="Q131" t="s">
        <v>372</v>
      </c>
      <c r="S131" t="s">
        <v>373</v>
      </c>
      <c r="T131" t="s">
        <v>374</v>
      </c>
    </row>
    <row r="132" spans="2:20" ht="15.75">
      <c r="B132" s="22" t="s">
        <v>52</v>
      </c>
      <c r="C132" s="11">
        <v>46023</v>
      </c>
      <c r="D132" s="15">
        <v>4.1666666666666664E-2</v>
      </c>
      <c r="E132" s="7">
        <v>46023</v>
      </c>
      <c r="F132" s="22" t="s">
        <v>31</v>
      </c>
      <c r="G132" t="s">
        <v>50</v>
      </c>
      <c r="H132" t="s">
        <v>88</v>
      </c>
      <c r="I132" t="s">
        <v>51</v>
      </c>
      <c r="J132" t="s">
        <v>367</v>
      </c>
      <c r="L132" t="s">
        <v>7</v>
      </c>
      <c r="M132">
        <v>3</v>
      </c>
      <c r="Q132" t="s">
        <v>376</v>
      </c>
      <c r="S132" t="s">
        <v>377</v>
      </c>
      <c r="T132" t="s">
        <v>147</v>
      </c>
    </row>
    <row r="133" spans="2:20" ht="15.75">
      <c r="B133" s="22" t="s">
        <v>3</v>
      </c>
      <c r="C133" s="11">
        <v>46032</v>
      </c>
      <c r="E133" s="7">
        <v>46032</v>
      </c>
      <c r="F133" s="22" t="s">
        <v>31</v>
      </c>
      <c r="G133" t="s">
        <v>74</v>
      </c>
      <c r="H133" t="s">
        <v>378</v>
      </c>
      <c r="I133" t="s">
        <v>379</v>
      </c>
      <c r="J133" t="s">
        <v>381</v>
      </c>
      <c r="K133" t="s">
        <v>388</v>
      </c>
      <c r="L133" t="s">
        <v>7</v>
      </c>
      <c r="M133">
        <v>1</v>
      </c>
      <c r="N133">
        <v>1</v>
      </c>
      <c r="O133">
        <v>0</v>
      </c>
      <c r="P133">
        <v>1</v>
      </c>
      <c r="S133" t="s">
        <v>382</v>
      </c>
      <c r="T133" t="s">
        <v>383</v>
      </c>
    </row>
    <row r="134" spans="2:20" ht="15.75">
      <c r="B134" s="22" t="s">
        <v>52</v>
      </c>
      <c r="C134" s="11">
        <v>46050</v>
      </c>
      <c r="D134" s="15">
        <v>4.1666666666666664E-2</v>
      </c>
      <c r="E134" s="7">
        <v>46050</v>
      </c>
      <c r="F134" s="22" t="s">
        <v>31</v>
      </c>
      <c r="G134" t="s">
        <v>111</v>
      </c>
      <c r="H134" t="s">
        <v>252</v>
      </c>
      <c r="I134" t="s">
        <v>384</v>
      </c>
      <c r="J134" t="s">
        <v>367</v>
      </c>
      <c r="K134" t="s">
        <v>385</v>
      </c>
      <c r="L134" t="s">
        <v>7</v>
      </c>
      <c r="M134">
        <v>2</v>
      </c>
      <c r="Q134" t="s">
        <v>386</v>
      </c>
    </row>
    <row r="135" spans="2:20" ht="15.75">
      <c r="B135" s="22" t="s">
        <v>52</v>
      </c>
      <c r="C135" s="11">
        <v>46050</v>
      </c>
      <c r="D135" s="15">
        <v>4.1666666666666664E-2</v>
      </c>
      <c r="E135" s="7">
        <v>46050</v>
      </c>
      <c r="F135" s="22" t="s">
        <v>31</v>
      </c>
      <c r="G135" t="s">
        <v>111</v>
      </c>
      <c r="H135" t="s">
        <v>252</v>
      </c>
      <c r="I135" t="s">
        <v>384</v>
      </c>
      <c r="J135" t="s">
        <v>367</v>
      </c>
      <c r="K135" t="s">
        <v>385</v>
      </c>
      <c r="L135" t="s">
        <v>7</v>
      </c>
      <c r="M135">
        <v>1</v>
      </c>
      <c r="Q135" t="s">
        <v>386</v>
      </c>
    </row>
    <row r="136" spans="2:20" ht="15.75">
      <c r="B136" s="22" t="s">
        <v>392</v>
      </c>
      <c r="C136" s="11">
        <v>46038</v>
      </c>
      <c r="D136" s="15">
        <v>0.95833333333333337</v>
      </c>
      <c r="E136" s="7">
        <v>46038</v>
      </c>
      <c r="F136" s="22" t="s">
        <v>31</v>
      </c>
      <c r="G136" t="s">
        <v>26</v>
      </c>
      <c r="H136" t="s">
        <v>27</v>
      </c>
      <c r="I136" t="s">
        <v>387</v>
      </c>
      <c r="J136" t="s">
        <v>391</v>
      </c>
      <c r="K136" t="s">
        <v>389</v>
      </c>
      <c r="L136" t="s">
        <v>7</v>
      </c>
      <c r="M136">
        <v>2</v>
      </c>
      <c r="N136">
        <v>2</v>
      </c>
      <c r="O136">
        <v>0</v>
      </c>
      <c r="P136">
        <v>2</v>
      </c>
      <c r="S136" t="s">
        <v>390</v>
      </c>
      <c r="T136" t="s">
        <v>293</v>
      </c>
    </row>
    <row r="137" spans="2:20" ht="15.75">
      <c r="B137" s="22" t="s">
        <v>44</v>
      </c>
      <c r="C137" s="11">
        <v>46050</v>
      </c>
      <c r="D137" s="15">
        <v>4.1666666666666664E-2</v>
      </c>
      <c r="E137" s="7">
        <v>46050</v>
      </c>
      <c r="F137" s="22" t="s">
        <v>31</v>
      </c>
      <c r="G137" t="s">
        <v>111</v>
      </c>
      <c r="H137" t="s">
        <v>252</v>
      </c>
      <c r="I137" t="s">
        <v>393</v>
      </c>
      <c r="J137" t="s">
        <v>367</v>
      </c>
      <c r="K137" t="s">
        <v>385</v>
      </c>
      <c r="L137" t="s">
        <v>7</v>
      </c>
      <c r="M137">
        <v>1</v>
      </c>
      <c r="Q137" t="s">
        <v>386</v>
      </c>
      <c r="T137" t="s">
        <v>394</v>
      </c>
    </row>
    <row r="138" spans="2:20" ht="15.75">
      <c r="B138" s="22" t="s">
        <v>44</v>
      </c>
      <c r="C138" s="11">
        <v>46050</v>
      </c>
      <c r="D138" s="15">
        <v>4.1666666666666664E-2</v>
      </c>
      <c r="E138" s="7">
        <v>46050</v>
      </c>
      <c r="F138" s="22" t="s">
        <v>31</v>
      </c>
      <c r="G138" t="s">
        <v>111</v>
      </c>
      <c r="H138" t="s">
        <v>252</v>
      </c>
      <c r="I138" t="s">
        <v>393</v>
      </c>
      <c r="J138" t="s">
        <v>367</v>
      </c>
      <c r="K138" t="s">
        <v>385</v>
      </c>
      <c r="L138" t="s">
        <v>7</v>
      </c>
      <c r="M138">
        <v>1</v>
      </c>
      <c r="Q138" t="s">
        <v>386</v>
      </c>
      <c r="T138" t="s">
        <v>394</v>
      </c>
    </row>
    <row r="139" spans="2:20" ht="15.75">
      <c r="B139" s="22" t="s">
        <v>73</v>
      </c>
      <c r="C139" s="11">
        <v>46058</v>
      </c>
      <c r="D139" s="15">
        <v>0.72916666666666663</v>
      </c>
      <c r="E139" s="7">
        <v>46058</v>
      </c>
      <c r="F139" s="22" t="s">
        <v>34</v>
      </c>
      <c r="G139" t="s">
        <v>33</v>
      </c>
      <c r="H139" t="s">
        <v>157</v>
      </c>
      <c r="I139" t="s">
        <v>395</v>
      </c>
      <c r="J139" t="s">
        <v>399</v>
      </c>
      <c r="K139" t="s">
        <v>396</v>
      </c>
      <c r="L139" t="s">
        <v>7</v>
      </c>
      <c r="M139">
        <v>2</v>
      </c>
    </row>
    <row r="140" spans="2:20" ht="15.75">
      <c r="B140" s="22" t="s">
        <v>3</v>
      </c>
      <c r="C140" s="11">
        <v>46054</v>
      </c>
      <c r="F140" s="22" t="s">
        <v>397</v>
      </c>
      <c r="J140" t="s">
        <v>399</v>
      </c>
      <c r="K140" t="s">
        <v>400</v>
      </c>
      <c r="L140" t="s">
        <v>7</v>
      </c>
      <c r="M140">
        <v>1</v>
      </c>
      <c r="N140">
        <v>1</v>
      </c>
      <c r="P140">
        <v>1</v>
      </c>
      <c r="T140" t="s">
        <v>398</v>
      </c>
    </row>
    <row r="141" spans="2:20" ht="15.75">
      <c r="B141" s="22" t="s">
        <v>3</v>
      </c>
      <c r="C141" s="11">
        <v>46054</v>
      </c>
      <c r="F141" s="22" t="s">
        <v>309</v>
      </c>
      <c r="J141" t="s">
        <v>260</v>
      </c>
      <c r="K141" t="s">
        <v>401</v>
      </c>
      <c r="L141" t="s">
        <v>261</v>
      </c>
      <c r="M141">
        <v>1</v>
      </c>
      <c r="N141">
        <v>1</v>
      </c>
      <c r="P141">
        <v>1</v>
      </c>
      <c r="T141" t="s">
        <v>398</v>
      </c>
    </row>
    <row r="142" spans="2:20" ht="15.75">
      <c r="B142" s="22" t="s">
        <v>3</v>
      </c>
      <c r="C142" s="11">
        <v>46054</v>
      </c>
      <c r="F142" s="22" t="s">
        <v>31</v>
      </c>
      <c r="J142" t="s">
        <v>260</v>
      </c>
      <c r="L142" t="s">
        <v>261</v>
      </c>
      <c r="M142">
        <v>1</v>
      </c>
      <c r="N142">
        <v>1</v>
      </c>
      <c r="P142">
        <v>1</v>
      </c>
      <c r="T142" t="s">
        <v>398</v>
      </c>
    </row>
    <row r="143" spans="2:20" ht="15.75">
      <c r="B143" s="22" t="s">
        <v>60</v>
      </c>
      <c r="C143" s="11">
        <v>46065</v>
      </c>
      <c r="D143" s="15">
        <v>0.95833333333333337</v>
      </c>
      <c r="E143" s="7">
        <v>46066</v>
      </c>
      <c r="F143" s="22" t="s">
        <v>31</v>
      </c>
      <c r="G143" t="s">
        <v>111</v>
      </c>
      <c r="H143" t="s">
        <v>252</v>
      </c>
      <c r="I143" t="s">
        <v>393</v>
      </c>
      <c r="J143" t="s">
        <v>367</v>
      </c>
      <c r="K143" t="s">
        <v>402</v>
      </c>
      <c r="L143" t="s">
        <v>7</v>
      </c>
      <c r="M143">
        <v>1</v>
      </c>
      <c r="Q143" t="s">
        <v>403</v>
      </c>
      <c r="T143" t="s">
        <v>374</v>
      </c>
    </row>
    <row r="144" spans="2:20" ht="15.75">
      <c r="B144" s="22" t="s">
        <v>60</v>
      </c>
      <c r="C144" s="11">
        <v>46065</v>
      </c>
      <c r="D144" s="15">
        <v>0.95833333333333337</v>
      </c>
      <c r="E144" s="7">
        <v>46066</v>
      </c>
      <c r="F144" s="22" t="s">
        <v>31</v>
      </c>
      <c r="G144" t="s">
        <v>111</v>
      </c>
      <c r="H144" t="s">
        <v>252</v>
      </c>
      <c r="I144" t="s">
        <v>393</v>
      </c>
      <c r="J144" t="s">
        <v>367</v>
      </c>
      <c r="K144" t="s">
        <v>402</v>
      </c>
      <c r="L144" t="s">
        <v>7</v>
      </c>
      <c r="M144">
        <v>1</v>
      </c>
      <c r="Q144" t="s">
        <v>403</v>
      </c>
      <c r="T144" t="s">
        <v>374</v>
      </c>
    </row>
    <row r="145" spans="2:20" ht="15.75">
      <c r="B145" s="22" t="s">
        <v>3</v>
      </c>
      <c r="C145" s="11">
        <v>46069</v>
      </c>
      <c r="D145" s="15">
        <v>0.66666666666666663</v>
      </c>
      <c r="E145" s="7">
        <v>46069</v>
      </c>
      <c r="F145" s="22" t="s">
        <v>31</v>
      </c>
      <c r="G145" t="s">
        <v>12</v>
      </c>
      <c r="H145" t="s">
        <v>9</v>
      </c>
      <c r="I145" t="s">
        <v>9</v>
      </c>
      <c r="J145" t="s">
        <v>21</v>
      </c>
      <c r="K145" t="s">
        <v>400</v>
      </c>
      <c r="L145" t="s">
        <v>404</v>
      </c>
      <c r="M145">
        <v>1</v>
      </c>
      <c r="N145">
        <v>1</v>
      </c>
      <c r="P145">
        <v>1</v>
      </c>
    </row>
    <row r="146" spans="2:20" ht="15.75">
      <c r="B146" s="22" t="s">
        <v>405</v>
      </c>
      <c r="C146" s="11">
        <v>46071</v>
      </c>
      <c r="E146" s="7">
        <v>46071</v>
      </c>
      <c r="F146" s="22" t="s">
        <v>31</v>
      </c>
      <c r="G146" t="s">
        <v>111</v>
      </c>
      <c r="H146" t="s">
        <v>112</v>
      </c>
      <c r="I146" t="s">
        <v>406</v>
      </c>
      <c r="J146" t="s">
        <v>407</v>
      </c>
      <c r="K146" t="s">
        <v>408</v>
      </c>
      <c r="L146" t="s">
        <v>409</v>
      </c>
      <c r="M146">
        <v>1</v>
      </c>
      <c r="N146">
        <v>1</v>
      </c>
      <c r="P146">
        <v>1</v>
      </c>
      <c r="S146" t="s">
        <v>410</v>
      </c>
      <c r="T146" t="s">
        <v>411</v>
      </c>
    </row>
    <row r="147" spans="2:20" ht="15.75">
      <c r="B147" s="22" t="s">
        <v>419</v>
      </c>
      <c r="C147" s="11">
        <v>46071</v>
      </c>
      <c r="E147" s="7">
        <v>46072</v>
      </c>
      <c r="F147" s="22" t="s">
        <v>31</v>
      </c>
      <c r="G147" t="s">
        <v>74</v>
      </c>
      <c r="H147" t="s">
        <v>89</v>
      </c>
      <c r="I147" t="s">
        <v>89</v>
      </c>
      <c r="J147" t="s">
        <v>412</v>
      </c>
      <c r="K147" t="s">
        <v>127</v>
      </c>
      <c r="L147" t="s">
        <v>21</v>
      </c>
      <c r="M147">
        <v>1</v>
      </c>
      <c r="N147">
        <v>1</v>
      </c>
      <c r="P147">
        <v>1</v>
      </c>
    </row>
    <row r="148" spans="2:20" ht="15.75">
      <c r="B148" s="22" t="s">
        <v>3</v>
      </c>
      <c r="C148" s="11">
        <v>46074</v>
      </c>
      <c r="D148" t="s">
        <v>21</v>
      </c>
      <c r="E148" s="7">
        <v>46074</v>
      </c>
      <c r="F148" s="22" t="s">
        <v>31</v>
      </c>
      <c r="G148" t="s">
        <v>74</v>
      </c>
      <c r="I148" t="s">
        <v>413</v>
      </c>
      <c r="J148" t="s">
        <v>21</v>
      </c>
      <c r="K148" t="s">
        <v>400</v>
      </c>
      <c r="L148" t="s">
        <v>21</v>
      </c>
      <c r="M148">
        <v>1</v>
      </c>
      <c r="N148">
        <v>1</v>
      </c>
      <c r="P148">
        <v>1</v>
      </c>
      <c r="T148" t="s">
        <v>230</v>
      </c>
    </row>
    <row r="149" spans="2:20" ht="15.75">
      <c r="B149" s="22" t="s">
        <v>73</v>
      </c>
      <c r="C149" s="11">
        <v>46076</v>
      </c>
      <c r="D149" s="15">
        <v>0.41666666666666669</v>
      </c>
      <c r="E149" s="7">
        <v>46076</v>
      </c>
      <c r="F149" s="22" t="s">
        <v>31</v>
      </c>
      <c r="G149" t="s">
        <v>74</v>
      </c>
      <c r="H149" t="s">
        <v>378</v>
      </c>
      <c r="I149" t="s">
        <v>378</v>
      </c>
      <c r="J149" t="s">
        <v>414</v>
      </c>
      <c r="K149" t="s">
        <v>415</v>
      </c>
      <c r="L149" t="s">
        <v>7</v>
      </c>
      <c r="M149">
        <v>2</v>
      </c>
      <c r="N149">
        <v>0</v>
      </c>
      <c r="O149">
        <v>2</v>
      </c>
      <c r="T149" t="s">
        <v>416</v>
      </c>
    </row>
    <row r="150" spans="2:20" ht="15.75">
      <c r="B150" s="22" t="s">
        <v>418</v>
      </c>
      <c r="C150" s="11">
        <v>46077</v>
      </c>
      <c r="E150" s="7">
        <v>46077</v>
      </c>
      <c r="F150" s="22" t="s">
        <v>417</v>
      </c>
      <c r="G150" t="s">
        <v>33</v>
      </c>
      <c r="H150" t="s">
        <v>157</v>
      </c>
      <c r="M150">
        <v>14</v>
      </c>
      <c r="N150">
        <v>6</v>
      </c>
      <c r="O150">
        <v>8</v>
      </c>
      <c r="P150">
        <v>6</v>
      </c>
    </row>
    <row r="151" spans="2:20" ht="15.75">
      <c r="B151" s="22" t="s">
        <v>420</v>
      </c>
      <c r="C151" s="11">
        <v>46072</v>
      </c>
      <c r="D151" s="15">
        <v>0.3125</v>
      </c>
      <c r="E151" s="7">
        <v>46072</v>
      </c>
      <c r="F151" s="22" t="s">
        <v>31</v>
      </c>
      <c r="G151" t="s">
        <v>141</v>
      </c>
      <c r="H151" t="s">
        <v>210</v>
      </c>
      <c r="I151" t="s">
        <v>210</v>
      </c>
      <c r="J151" t="s">
        <v>412</v>
      </c>
      <c r="M151">
        <v>1</v>
      </c>
      <c r="N151">
        <v>1</v>
      </c>
      <c r="P151">
        <v>1</v>
      </c>
    </row>
    <row r="152" spans="2:20" ht="15.75">
      <c r="B152" s="22" t="s">
        <v>44</v>
      </c>
      <c r="C152" s="11">
        <v>46079</v>
      </c>
      <c r="D152" s="15">
        <v>0.75</v>
      </c>
      <c r="E152" s="7">
        <v>46080</v>
      </c>
      <c r="F152" s="22" t="s">
        <v>31</v>
      </c>
      <c r="G152" t="s">
        <v>12</v>
      </c>
      <c r="H152" t="s">
        <v>176</v>
      </c>
      <c r="I152" t="s">
        <v>303</v>
      </c>
      <c r="J152" t="s">
        <v>367</v>
      </c>
      <c r="K152" t="s">
        <v>421</v>
      </c>
      <c r="L152" t="s">
        <v>7</v>
      </c>
      <c r="M152">
        <v>2</v>
      </c>
      <c r="Q152" t="s">
        <v>422</v>
      </c>
      <c r="T152" t="s">
        <v>423</v>
      </c>
    </row>
    <row r="153" spans="2:20" ht="15.75">
      <c r="B153" s="22" t="s">
        <v>424</v>
      </c>
      <c r="C153" s="11">
        <v>46054</v>
      </c>
      <c r="E153" s="6">
        <v>46054</v>
      </c>
      <c r="F153" s="22" t="s">
        <v>31</v>
      </c>
      <c r="G153" t="s">
        <v>12</v>
      </c>
      <c r="I153" t="s">
        <v>428</v>
      </c>
      <c r="J153" t="s">
        <v>429</v>
      </c>
      <c r="M153">
        <f>SUM(M130:M152)</f>
        <v>44</v>
      </c>
      <c r="N153">
        <f>SUM(N130:N152)</f>
        <v>17</v>
      </c>
      <c r="O153">
        <f>SUM(O130:O152)</f>
        <v>10</v>
      </c>
      <c r="P153">
        <f>SUM(P130:P152)</f>
        <v>17</v>
      </c>
    </row>
    <row r="154" spans="2:20">
      <c r="Q154" t="s">
        <v>427</v>
      </c>
    </row>
  </sheetData>
  <autoFilter ref="A2:T128">
    <filterColumn colId="4">
      <dynamicFilter type="thisYear" val="46023" maxVal="46388"/>
    </filterColumn>
  </autoFilter>
  <mergeCells count="1">
    <mergeCell ref="I1:Q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3:B9"/>
  <sheetViews>
    <sheetView workbookViewId="0">
      <selection activeCell="A3" sqref="A3:B9"/>
    </sheetView>
  </sheetViews>
  <sheetFormatPr defaultRowHeight="15"/>
  <cols>
    <col min="1" max="1" width="14.85546875" bestFit="1" customWidth="1"/>
    <col min="2" max="2" width="17.7109375" bestFit="1" customWidth="1"/>
  </cols>
  <sheetData>
    <row r="3" spans="1:2">
      <c r="A3" s="12" t="s">
        <v>286</v>
      </c>
      <c r="B3" t="s">
        <v>247</v>
      </c>
    </row>
    <row r="4" spans="1:2">
      <c r="A4" s="13" t="s">
        <v>34</v>
      </c>
      <c r="B4" s="14">
        <v>1</v>
      </c>
    </row>
    <row r="5" spans="1:2">
      <c r="A5" s="13" t="s">
        <v>397</v>
      </c>
      <c r="B5" s="14">
        <v>1</v>
      </c>
    </row>
    <row r="6" spans="1:2">
      <c r="A6" s="13" t="s">
        <v>31</v>
      </c>
      <c r="B6" s="14">
        <v>17</v>
      </c>
    </row>
    <row r="7" spans="1:2">
      <c r="A7" s="13" t="s">
        <v>417</v>
      </c>
      <c r="B7" s="14">
        <v>1</v>
      </c>
    </row>
    <row r="8" spans="1:2">
      <c r="A8" s="13" t="s">
        <v>309</v>
      </c>
      <c r="B8" s="14">
        <v>1</v>
      </c>
    </row>
    <row r="9" spans="1:2">
      <c r="A9" s="13" t="s">
        <v>246</v>
      </c>
      <c r="B9" s="14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B19"/>
  <sheetViews>
    <sheetView workbookViewId="0">
      <selection activeCell="A11" sqref="A11"/>
    </sheetView>
  </sheetViews>
  <sheetFormatPr defaultRowHeight="15"/>
  <cols>
    <col min="1" max="1" width="13.85546875" bestFit="1" customWidth="1"/>
    <col min="2" max="2" width="17.7109375" bestFit="1" customWidth="1"/>
  </cols>
  <sheetData>
    <row r="3" spans="1:2">
      <c r="A3" s="12" t="s">
        <v>286</v>
      </c>
      <c r="B3" t="s">
        <v>247</v>
      </c>
    </row>
    <row r="4" spans="1:2">
      <c r="A4" s="13" t="s">
        <v>425</v>
      </c>
      <c r="B4" s="14">
        <v>1</v>
      </c>
    </row>
    <row r="5" spans="1:2">
      <c r="A5" s="25">
        <v>46023</v>
      </c>
      <c r="B5" s="14">
        <v>1</v>
      </c>
    </row>
    <row r="6" spans="1:2">
      <c r="A6" s="25">
        <v>46032</v>
      </c>
      <c r="B6" s="14">
        <v>1</v>
      </c>
    </row>
    <row r="7" spans="1:2">
      <c r="A7" s="25">
        <v>46038</v>
      </c>
      <c r="B7" s="14">
        <v>1</v>
      </c>
    </row>
    <row r="8" spans="1:2">
      <c r="A8" s="25">
        <v>46050</v>
      </c>
      <c r="B8" s="14">
        <v>4</v>
      </c>
    </row>
    <row r="9" spans="1:2">
      <c r="A9" s="25">
        <v>46054</v>
      </c>
      <c r="B9" s="14">
        <v>3</v>
      </c>
    </row>
    <row r="10" spans="1:2">
      <c r="A10" s="25">
        <v>46058</v>
      </c>
      <c r="B10" s="14">
        <v>1</v>
      </c>
    </row>
    <row r="11" spans="1:2">
      <c r="A11" s="25">
        <v>46065</v>
      </c>
      <c r="B11" s="14">
        <v>2</v>
      </c>
    </row>
    <row r="12" spans="1:2">
      <c r="A12" s="25">
        <v>46069</v>
      </c>
      <c r="B12" s="14">
        <v>1</v>
      </c>
    </row>
    <row r="13" spans="1:2">
      <c r="A13" s="25">
        <v>46071</v>
      </c>
      <c r="B13" s="14">
        <v>2</v>
      </c>
    </row>
    <row r="14" spans="1:2">
      <c r="A14" s="25">
        <v>46072</v>
      </c>
      <c r="B14" s="14">
        <v>1</v>
      </c>
    </row>
    <row r="15" spans="1:2">
      <c r="A15" s="25">
        <v>46074</v>
      </c>
      <c r="B15" s="14">
        <v>1</v>
      </c>
    </row>
    <row r="16" spans="1:2">
      <c r="A16" s="25">
        <v>46076</v>
      </c>
      <c r="B16" s="14">
        <v>1</v>
      </c>
    </row>
    <row r="17" spans="1:2">
      <c r="A17" s="25">
        <v>46077</v>
      </c>
      <c r="B17" s="14">
        <v>1</v>
      </c>
    </row>
    <row r="18" spans="1:2">
      <c r="A18" s="25">
        <v>46079</v>
      </c>
      <c r="B18" s="14">
        <v>1</v>
      </c>
    </row>
    <row r="19" spans="1:2">
      <c r="A19" s="13" t="s">
        <v>246</v>
      </c>
      <c r="B19" s="14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23"/>
  <sheetViews>
    <sheetView workbookViewId="0">
      <selection activeCell="O23" sqref="O23"/>
    </sheetView>
  </sheetViews>
  <sheetFormatPr defaultRowHeight="15"/>
  <cols>
    <col min="1" max="1" width="12.85546875" customWidth="1"/>
    <col min="2" max="2" width="15.5703125" customWidth="1"/>
    <col min="4" max="4" width="15.42578125" customWidth="1"/>
  </cols>
  <sheetData>
    <row r="1" spans="1:20" ht="18.75">
      <c r="A1" s="16" t="s">
        <v>218</v>
      </c>
      <c r="B1" s="16" t="s">
        <v>0</v>
      </c>
      <c r="C1" s="16" t="s">
        <v>2</v>
      </c>
      <c r="D1" s="16" t="s">
        <v>1</v>
      </c>
      <c r="E1" s="16" t="s">
        <v>4</v>
      </c>
      <c r="F1" s="16" t="s">
        <v>5</v>
      </c>
      <c r="G1" s="16" t="s">
        <v>86</v>
      </c>
      <c r="H1" s="16" t="s">
        <v>264</v>
      </c>
      <c r="I1" s="16" t="s">
        <v>265</v>
      </c>
      <c r="J1" s="16" t="s">
        <v>380</v>
      </c>
      <c r="K1" s="16" t="s">
        <v>266</v>
      </c>
      <c r="L1" s="16" t="s">
        <v>267</v>
      </c>
      <c r="M1" s="16" t="s">
        <v>268</v>
      </c>
      <c r="N1" s="16" t="s">
        <v>269</v>
      </c>
      <c r="O1" s="16" t="s">
        <v>270</v>
      </c>
      <c r="P1" s="16" t="s">
        <v>271</v>
      </c>
      <c r="Q1" s="16" t="s">
        <v>272</v>
      </c>
      <c r="R1" s="16" t="s">
        <v>273</v>
      </c>
      <c r="S1" s="16" t="s">
        <v>274</v>
      </c>
      <c r="T1" s="5"/>
    </row>
    <row r="2" spans="1:20" ht="15.75">
      <c r="A2" s="22" t="s">
        <v>44</v>
      </c>
      <c r="B2" s="11">
        <v>46023</v>
      </c>
      <c r="C2" s="15">
        <v>4.1666666666666664E-2</v>
      </c>
      <c r="D2" s="7">
        <v>46023</v>
      </c>
      <c r="E2" s="22" t="s">
        <v>31</v>
      </c>
      <c r="F2" t="s">
        <v>50</v>
      </c>
      <c r="G2" t="s">
        <v>88</v>
      </c>
      <c r="H2" t="s">
        <v>51</v>
      </c>
      <c r="I2" t="s">
        <v>367</v>
      </c>
      <c r="K2" t="s">
        <v>7</v>
      </c>
      <c r="L2">
        <v>3</v>
      </c>
      <c r="P2" t="s">
        <v>376</v>
      </c>
      <c r="R2" t="s">
        <v>377</v>
      </c>
      <c r="S2" t="s">
        <v>147</v>
      </c>
    </row>
    <row r="3" spans="1:20" ht="15.75">
      <c r="A3" s="22" t="s">
        <v>3</v>
      </c>
      <c r="B3" s="11">
        <v>46032</v>
      </c>
      <c r="D3" s="7">
        <v>46032</v>
      </c>
      <c r="E3" s="22" t="s">
        <v>31</v>
      </c>
      <c r="F3" t="s">
        <v>74</v>
      </c>
      <c r="G3" t="s">
        <v>378</v>
      </c>
      <c r="H3" t="s">
        <v>379</v>
      </c>
      <c r="I3" t="s">
        <v>381</v>
      </c>
      <c r="J3" t="s">
        <v>388</v>
      </c>
      <c r="K3" t="s">
        <v>7</v>
      </c>
      <c r="L3">
        <v>1</v>
      </c>
      <c r="M3">
        <v>1</v>
      </c>
      <c r="N3">
        <v>0</v>
      </c>
      <c r="O3">
        <v>1</v>
      </c>
      <c r="R3" t="s">
        <v>382</v>
      </c>
      <c r="S3" t="s">
        <v>383</v>
      </c>
    </row>
    <row r="4" spans="1:20" ht="15.75">
      <c r="A4" s="22" t="s">
        <v>44</v>
      </c>
      <c r="B4" s="11">
        <v>46050</v>
      </c>
      <c r="C4" s="15">
        <v>4.1666666666666664E-2</v>
      </c>
      <c r="D4" s="7">
        <v>46050</v>
      </c>
      <c r="E4" s="22" t="s">
        <v>31</v>
      </c>
      <c r="F4" t="s">
        <v>111</v>
      </c>
      <c r="G4" t="s">
        <v>252</v>
      </c>
      <c r="H4" t="s">
        <v>384</v>
      </c>
      <c r="I4" t="s">
        <v>367</v>
      </c>
      <c r="J4" t="s">
        <v>385</v>
      </c>
      <c r="K4" t="s">
        <v>7</v>
      </c>
      <c r="L4">
        <v>2</v>
      </c>
      <c r="P4" t="s">
        <v>386</v>
      </c>
    </row>
    <row r="5" spans="1:20" ht="15.75">
      <c r="A5" s="22" t="s">
        <v>44</v>
      </c>
      <c r="B5" s="11">
        <v>46050</v>
      </c>
      <c r="C5" s="15">
        <v>4.1666666666666664E-2</v>
      </c>
      <c r="D5" s="7">
        <v>46050</v>
      </c>
      <c r="E5" s="22" t="s">
        <v>31</v>
      </c>
      <c r="F5" t="s">
        <v>111</v>
      </c>
      <c r="G5" t="s">
        <v>252</v>
      </c>
      <c r="H5" t="s">
        <v>384</v>
      </c>
      <c r="I5" t="s">
        <v>367</v>
      </c>
      <c r="J5" t="s">
        <v>385</v>
      </c>
      <c r="K5" t="s">
        <v>7</v>
      </c>
      <c r="L5">
        <v>1</v>
      </c>
      <c r="P5" t="s">
        <v>386</v>
      </c>
    </row>
    <row r="6" spans="1:20" ht="15.75">
      <c r="A6" s="22" t="s">
        <v>392</v>
      </c>
      <c r="B6" s="11">
        <v>46038</v>
      </c>
      <c r="C6" s="15">
        <v>0.95833333333333337</v>
      </c>
      <c r="D6" s="7">
        <v>46038</v>
      </c>
      <c r="E6" s="22" t="s">
        <v>31</v>
      </c>
      <c r="F6" t="s">
        <v>26</v>
      </c>
      <c r="G6" t="s">
        <v>27</v>
      </c>
      <c r="H6" t="s">
        <v>387</v>
      </c>
      <c r="I6" t="s">
        <v>391</v>
      </c>
      <c r="J6" t="s">
        <v>389</v>
      </c>
      <c r="K6" t="s">
        <v>7</v>
      </c>
      <c r="L6">
        <v>2</v>
      </c>
      <c r="M6">
        <v>2</v>
      </c>
      <c r="N6">
        <v>0</v>
      </c>
      <c r="O6">
        <v>2</v>
      </c>
      <c r="R6" t="s">
        <v>390</v>
      </c>
      <c r="S6" t="s">
        <v>293</v>
      </c>
    </row>
    <row r="7" spans="1:20" ht="15.75">
      <c r="A7" s="22" t="s">
        <v>44</v>
      </c>
      <c r="B7" s="11">
        <v>46050</v>
      </c>
      <c r="C7" s="15">
        <v>4.1666666666666664E-2</v>
      </c>
      <c r="D7" s="7">
        <v>46050</v>
      </c>
      <c r="E7" s="22" t="s">
        <v>31</v>
      </c>
      <c r="F7" t="s">
        <v>111</v>
      </c>
      <c r="G7" t="s">
        <v>252</v>
      </c>
      <c r="H7" t="s">
        <v>393</v>
      </c>
      <c r="I7" t="s">
        <v>367</v>
      </c>
      <c r="J7" t="s">
        <v>385</v>
      </c>
      <c r="K7" t="s">
        <v>7</v>
      </c>
      <c r="L7">
        <v>1</v>
      </c>
      <c r="P7" t="s">
        <v>386</v>
      </c>
      <c r="S7" t="s">
        <v>394</v>
      </c>
    </row>
    <row r="8" spans="1:20" ht="15.75">
      <c r="A8" s="22" t="s">
        <v>44</v>
      </c>
      <c r="B8" s="11">
        <v>46050</v>
      </c>
      <c r="C8" s="15">
        <v>4.1666666666666664E-2</v>
      </c>
      <c r="D8" s="7">
        <v>46050</v>
      </c>
      <c r="E8" s="22" t="s">
        <v>31</v>
      </c>
      <c r="F8" t="s">
        <v>111</v>
      </c>
      <c r="G8" t="s">
        <v>252</v>
      </c>
      <c r="H8" t="s">
        <v>393</v>
      </c>
      <c r="I8" t="s">
        <v>367</v>
      </c>
      <c r="J8" t="s">
        <v>385</v>
      </c>
      <c r="K8" t="s">
        <v>7</v>
      </c>
      <c r="L8">
        <v>1</v>
      </c>
      <c r="P8" t="s">
        <v>386</v>
      </c>
      <c r="S8" t="s">
        <v>394</v>
      </c>
    </row>
    <row r="9" spans="1:20" ht="15.75">
      <c r="A9" s="22" t="s">
        <v>73</v>
      </c>
      <c r="B9" s="11">
        <v>46058</v>
      </c>
      <c r="C9" s="15">
        <v>0.72916666666666663</v>
      </c>
      <c r="D9" s="7">
        <v>46058</v>
      </c>
      <c r="E9" s="22" t="s">
        <v>34</v>
      </c>
      <c r="F9" t="s">
        <v>33</v>
      </c>
      <c r="G9" t="s">
        <v>157</v>
      </c>
      <c r="H9" t="s">
        <v>395</v>
      </c>
      <c r="I9" t="s">
        <v>399</v>
      </c>
      <c r="J9" t="s">
        <v>396</v>
      </c>
      <c r="K9" t="s">
        <v>7</v>
      </c>
      <c r="L9">
        <v>2</v>
      </c>
    </row>
    <row r="10" spans="1:20" ht="15.75">
      <c r="A10" s="22" t="s">
        <v>3</v>
      </c>
      <c r="B10" s="11">
        <v>46054</v>
      </c>
      <c r="E10" s="22" t="s">
        <v>397</v>
      </c>
      <c r="I10" t="s">
        <v>399</v>
      </c>
      <c r="J10" t="s">
        <v>400</v>
      </c>
      <c r="K10" t="s">
        <v>7</v>
      </c>
      <c r="L10">
        <v>1</v>
      </c>
      <c r="M10">
        <v>1</v>
      </c>
      <c r="O10">
        <v>1</v>
      </c>
      <c r="S10" t="s">
        <v>398</v>
      </c>
    </row>
    <row r="11" spans="1:20" ht="15.75">
      <c r="A11" s="22" t="s">
        <v>3</v>
      </c>
      <c r="B11" s="11">
        <v>46054</v>
      </c>
      <c r="E11" s="22" t="s">
        <v>309</v>
      </c>
      <c r="I11" t="s">
        <v>260</v>
      </c>
      <c r="J11" t="s">
        <v>401</v>
      </c>
      <c r="K11" t="s">
        <v>261</v>
      </c>
      <c r="L11">
        <v>1</v>
      </c>
      <c r="M11">
        <v>1</v>
      </c>
      <c r="O11">
        <v>1</v>
      </c>
      <c r="S11" t="s">
        <v>398</v>
      </c>
    </row>
    <row r="12" spans="1:20" ht="15.75">
      <c r="A12" s="22" t="s">
        <v>3</v>
      </c>
      <c r="B12" s="11">
        <v>46054</v>
      </c>
      <c r="E12" s="22" t="s">
        <v>31</v>
      </c>
      <c r="I12" t="s">
        <v>260</v>
      </c>
      <c r="K12" t="s">
        <v>261</v>
      </c>
      <c r="L12">
        <v>1</v>
      </c>
      <c r="M12">
        <v>1</v>
      </c>
      <c r="O12">
        <v>1</v>
      </c>
      <c r="S12" t="s">
        <v>398</v>
      </c>
    </row>
    <row r="13" spans="1:20" ht="15.75">
      <c r="A13" s="22" t="s">
        <v>60</v>
      </c>
      <c r="B13" s="11">
        <v>46065</v>
      </c>
      <c r="C13" s="15">
        <v>0.95833333333333337</v>
      </c>
      <c r="D13" s="7">
        <v>46066</v>
      </c>
      <c r="E13" s="22" t="s">
        <v>31</v>
      </c>
      <c r="F13" t="s">
        <v>111</v>
      </c>
      <c r="G13" t="s">
        <v>252</v>
      </c>
      <c r="H13" t="s">
        <v>393</v>
      </c>
      <c r="I13" t="s">
        <v>367</v>
      </c>
      <c r="J13" t="s">
        <v>402</v>
      </c>
      <c r="K13" t="s">
        <v>7</v>
      </c>
      <c r="L13">
        <v>1</v>
      </c>
      <c r="P13" t="s">
        <v>403</v>
      </c>
      <c r="S13" t="s">
        <v>374</v>
      </c>
    </row>
    <row r="14" spans="1:20" ht="15.75">
      <c r="A14" s="22" t="s">
        <v>60</v>
      </c>
      <c r="B14" s="11">
        <v>46065</v>
      </c>
      <c r="C14" s="15">
        <v>0.95833333333333337</v>
      </c>
      <c r="D14" s="7">
        <v>46066</v>
      </c>
      <c r="E14" s="22" t="s">
        <v>31</v>
      </c>
      <c r="F14" t="s">
        <v>111</v>
      </c>
      <c r="G14" t="s">
        <v>252</v>
      </c>
      <c r="H14" t="s">
        <v>393</v>
      </c>
      <c r="I14" t="s">
        <v>367</v>
      </c>
      <c r="J14" t="s">
        <v>402</v>
      </c>
      <c r="K14" t="s">
        <v>7</v>
      </c>
      <c r="L14">
        <v>1</v>
      </c>
      <c r="P14" t="s">
        <v>403</v>
      </c>
      <c r="S14" t="s">
        <v>374</v>
      </c>
    </row>
    <row r="15" spans="1:20" ht="15.75">
      <c r="A15" s="22" t="s">
        <v>3</v>
      </c>
      <c r="B15" s="11">
        <v>46069</v>
      </c>
      <c r="C15" s="15">
        <v>0.66666666666666663</v>
      </c>
      <c r="D15" s="7">
        <v>46069</v>
      </c>
      <c r="E15" s="22" t="s">
        <v>31</v>
      </c>
      <c r="F15" t="s">
        <v>12</v>
      </c>
      <c r="G15" t="s">
        <v>9</v>
      </c>
      <c r="H15" t="s">
        <v>9</v>
      </c>
      <c r="I15" t="s">
        <v>21</v>
      </c>
      <c r="J15" t="s">
        <v>400</v>
      </c>
      <c r="K15" t="s">
        <v>404</v>
      </c>
      <c r="L15">
        <v>1</v>
      </c>
      <c r="M15">
        <v>1</v>
      </c>
      <c r="O15">
        <v>1</v>
      </c>
    </row>
    <row r="16" spans="1:20" ht="15.75">
      <c r="A16" s="22" t="s">
        <v>405</v>
      </c>
      <c r="B16" s="11">
        <v>46071</v>
      </c>
      <c r="D16" s="7">
        <v>46071</v>
      </c>
      <c r="E16" s="22" t="s">
        <v>31</v>
      </c>
      <c r="F16" t="s">
        <v>111</v>
      </c>
      <c r="G16" t="s">
        <v>112</v>
      </c>
      <c r="H16" t="s">
        <v>406</v>
      </c>
      <c r="I16" t="s">
        <v>407</v>
      </c>
      <c r="J16" t="s">
        <v>408</v>
      </c>
      <c r="K16" t="s">
        <v>409</v>
      </c>
      <c r="L16">
        <v>1</v>
      </c>
      <c r="M16">
        <v>1</v>
      </c>
      <c r="O16">
        <v>1</v>
      </c>
      <c r="R16" t="s">
        <v>410</v>
      </c>
      <c r="S16" t="s">
        <v>411</v>
      </c>
    </row>
    <row r="17" spans="1:19" ht="15.75">
      <c r="A17" s="22" t="s">
        <v>419</v>
      </c>
      <c r="B17" s="11">
        <v>46071</v>
      </c>
      <c r="D17" s="7">
        <v>46072</v>
      </c>
      <c r="E17" s="22" t="s">
        <v>31</v>
      </c>
      <c r="F17" t="s">
        <v>74</v>
      </c>
      <c r="G17" t="s">
        <v>89</v>
      </c>
      <c r="H17" t="s">
        <v>89</v>
      </c>
      <c r="I17" t="s">
        <v>412</v>
      </c>
      <c r="J17" t="s">
        <v>127</v>
      </c>
      <c r="K17" t="s">
        <v>21</v>
      </c>
      <c r="L17">
        <v>1</v>
      </c>
      <c r="M17">
        <v>1</v>
      </c>
      <c r="O17">
        <v>1</v>
      </c>
    </row>
    <row r="18" spans="1:19" ht="15.75">
      <c r="A18" s="22" t="s">
        <v>3</v>
      </c>
      <c r="B18" s="11">
        <v>46074</v>
      </c>
      <c r="C18" t="s">
        <v>21</v>
      </c>
      <c r="D18" s="7">
        <v>46074</v>
      </c>
      <c r="E18" s="22" t="s">
        <v>31</v>
      </c>
      <c r="F18" t="s">
        <v>74</v>
      </c>
      <c r="H18" t="s">
        <v>413</v>
      </c>
      <c r="I18" t="s">
        <v>21</v>
      </c>
      <c r="J18" t="s">
        <v>400</v>
      </c>
      <c r="K18" t="s">
        <v>21</v>
      </c>
      <c r="L18">
        <v>1</v>
      </c>
      <c r="M18">
        <v>1</v>
      </c>
      <c r="O18">
        <v>1</v>
      </c>
      <c r="S18" t="s">
        <v>230</v>
      </c>
    </row>
    <row r="19" spans="1:19" ht="15.75">
      <c r="A19" s="22" t="s">
        <v>73</v>
      </c>
      <c r="B19" s="11">
        <v>46076</v>
      </c>
      <c r="C19" s="15">
        <v>0.41666666666666669</v>
      </c>
      <c r="D19" s="7">
        <v>46076</v>
      </c>
      <c r="E19" s="22" t="s">
        <v>31</v>
      </c>
      <c r="F19" t="s">
        <v>74</v>
      </c>
      <c r="G19" t="s">
        <v>378</v>
      </c>
      <c r="H19" t="s">
        <v>378</v>
      </c>
      <c r="I19" t="s">
        <v>414</v>
      </c>
      <c r="J19" t="s">
        <v>415</v>
      </c>
      <c r="K19" t="s">
        <v>7</v>
      </c>
      <c r="L19">
        <v>2</v>
      </c>
      <c r="M19">
        <v>0</v>
      </c>
      <c r="N19">
        <v>2</v>
      </c>
      <c r="S19" t="s">
        <v>416</v>
      </c>
    </row>
    <row r="20" spans="1:19" ht="15.75">
      <c r="A20" s="22" t="s">
        <v>418</v>
      </c>
      <c r="B20" s="11">
        <v>46077</v>
      </c>
      <c r="D20" s="7">
        <v>46077</v>
      </c>
      <c r="E20" s="22" t="s">
        <v>417</v>
      </c>
      <c r="F20" t="s">
        <v>33</v>
      </c>
      <c r="G20" t="s">
        <v>157</v>
      </c>
      <c r="L20">
        <v>14</v>
      </c>
      <c r="M20">
        <v>6</v>
      </c>
      <c r="N20">
        <v>8</v>
      </c>
      <c r="O20">
        <v>6</v>
      </c>
    </row>
    <row r="21" spans="1:19" ht="15.75">
      <c r="A21" s="22" t="s">
        <v>420</v>
      </c>
      <c r="B21" s="11">
        <v>46072</v>
      </c>
      <c r="C21" s="15">
        <v>0.3125</v>
      </c>
      <c r="D21" s="7">
        <v>46072</v>
      </c>
      <c r="E21" s="22" t="s">
        <v>31</v>
      </c>
      <c r="F21" t="s">
        <v>141</v>
      </c>
      <c r="G21" t="s">
        <v>210</v>
      </c>
      <c r="H21" t="s">
        <v>210</v>
      </c>
      <c r="I21" t="s">
        <v>412</v>
      </c>
      <c r="L21">
        <v>1</v>
      </c>
      <c r="M21">
        <v>1</v>
      </c>
      <c r="O21">
        <v>1</v>
      </c>
    </row>
    <row r="22" spans="1:19" ht="15.75">
      <c r="A22" s="22" t="s">
        <v>44</v>
      </c>
      <c r="B22" s="11">
        <v>46079</v>
      </c>
      <c r="C22" s="15">
        <v>0.75</v>
      </c>
      <c r="D22" s="7">
        <v>46080</v>
      </c>
      <c r="E22" s="22" t="s">
        <v>31</v>
      </c>
      <c r="F22" t="s">
        <v>12</v>
      </c>
      <c r="G22" t="s">
        <v>176</v>
      </c>
      <c r="H22" t="s">
        <v>303</v>
      </c>
      <c r="I22" t="s">
        <v>367</v>
      </c>
      <c r="J22" t="s">
        <v>421</v>
      </c>
      <c r="K22" t="s">
        <v>7</v>
      </c>
      <c r="L22">
        <v>2</v>
      </c>
      <c r="P22" t="s">
        <v>422</v>
      </c>
      <c r="S22" t="s">
        <v>423</v>
      </c>
    </row>
    <row r="23" spans="1:19" ht="15.75">
      <c r="A23" s="22" t="s">
        <v>424</v>
      </c>
      <c r="B23" s="11" t="s">
        <v>425</v>
      </c>
      <c r="E23" s="22" t="s">
        <v>426</v>
      </c>
      <c r="P23" t="s">
        <v>427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Sheet9</vt:lpstr>
      <vt:lpstr>Sheet1</vt:lpstr>
      <vt:lpstr>Sheet5</vt:lpstr>
      <vt:lpstr>Sheet6</vt:lpstr>
      <vt:lpstr>Sheet3</vt:lpstr>
    </vt:vector>
  </TitlesOfParts>
  <Company>Deftones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KAGIMU MOSES</dc:creator>
  <cp:lastModifiedBy>KAGIMU MOSES</cp:lastModifiedBy>
  <dcterms:created xsi:type="dcterms:W3CDTF">2025-07-16T10:56:14Z</dcterms:created>
  <dcterms:modified xsi:type="dcterms:W3CDTF">2026-03-02T07:03:04Z</dcterms:modified>
</cp:coreProperties>
</file>