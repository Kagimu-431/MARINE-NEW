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Q1101" i="1"/>
  <c r="P1101"/>
  <c r="U1100"/>
  <c r="U1099"/>
  <c r="U1098"/>
  <c r="U1097"/>
  <c r="U1096"/>
  <c r="U1095"/>
  <c r="U1094"/>
  <c r="U1093"/>
  <c r="U1092"/>
  <c r="U1091"/>
  <c r="U1090"/>
  <c r="U1089"/>
  <c r="U1088"/>
  <c r="U1087"/>
  <c r="U1086"/>
  <c r="U1085"/>
  <c r="U1084"/>
  <c r="U1083"/>
  <c r="U1082"/>
  <c r="U1081"/>
  <c r="U1101" s="1"/>
  <c r="E1101"/>
  <c r="D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Q1076"/>
  <c r="P1076"/>
  <c r="U1075"/>
  <c r="U1074"/>
  <c r="U1073"/>
  <c r="U1072"/>
  <c r="U1071"/>
  <c r="U1070"/>
  <c r="U1069"/>
  <c r="U1068"/>
  <c r="U1067"/>
  <c r="U1066"/>
  <c r="U1065"/>
  <c r="U1064"/>
  <c r="U1063"/>
  <c r="U1062"/>
  <c r="U1061"/>
  <c r="U1060"/>
  <c r="U1059"/>
  <c r="U1058"/>
  <c r="U1057"/>
  <c r="U1056"/>
  <c r="E1076"/>
  <c r="D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Q1052"/>
  <c r="P1052"/>
  <c r="U1051"/>
  <c r="U1050"/>
  <c r="U1049"/>
  <c r="U1048"/>
  <c r="U1047"/>
  <c r="U1046"/>
  <c r="U1045"/>
  <c r="U1044"/>
  <c r="U1043"/>
  <c r="U1042"/>
  <c r="U1041"/>
  <c r="U1040"/>
  <c r="U1039"/>
  <c r="U1038"/>
  <c r="U1037"/>
  <c r="U1036"/>
  <c r="U1035"/>
  <c r="U1034"/>
  <c r="U1033"/>
  <c r="U1032"/>
  <c r="E1052"/>
  <c r="D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Q1028"/>
  <c r="P1028"/>
  <c r="U1027"/>
  <c r="U1026"/>
  <c r="U1025"/>
  <c r="U1024"/>
  <c r="U1023"/>
  <c r="U1022"/>
  <c r="U1021"/>
  <c r="U1020"/>
  <c r="U1019"/>
  <c r="U1018"/>
  <c r="U1017"/>
  <c r="U1016"/>
  <c r="U1015"/>
  <c r="U1014"/>
  <c r="U1013"/>
  <c r="U1012"/>
  <c r="U1011"/>
  <c r="U1010"/>
  <c r="U1009"/>
  <c r="U1008"/>
  <c r="E1028"/>
  <c r="D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Q1003"/>
  <c r="P1003"/>
  <c r="U1002"/>
  <c r="U1001"/>
  <c r="U1000"/>
  <c r="U999"/>
  <c r="U998"/>
  <c r="U997"/>
  <c r="U996"/>
  <c r="U995"/>
  <c r="U994"/>
  <c r="U993"/>
  <c r="U992"/>
  <c r="U991"/>
  <c r="U990"/>
  <c r="U989"/>
  <c r="U988"/>
  <c r="U987"/>
  <c r="U986"/>
  <c r="U985"/>
  <c r="U984"/>
  <c r="U983"/>
  <c r="E1003"/>
  <c r="D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Q979"/>
  <c r="P979"/>
  <c r="U978"/>
  <c r="U977"/>
  <c r="U976"/>
  <c r="U975"/>
  <c r="U974"/>
  <c r="U973"/>
  <c r="U972"/>
  <c r="U971"/>
  <c r="U970"/>
  <c r="U969"/>
  <c r="U968"/>
  <c r="U967"/>
  <c r="U966"/>
  <c r="U965"/>
  <c r="U964"/>
  <c r="U963"/>
  <c r="U962"/>
  <c r="U961"/>
  <c r="U960"/>
  <c r="U959"/>
  <c r="E979"/>
  <c r="D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P955"/>
  <c r="O955"/>
  <c r="T954"/>
  <c r="T953"/>
  <c r="T952"/>
  <c r="T951"/>
  <c r="T950"/>
  <c r="T949"/>
  <c r="T948"/>
  <c r="T947"/>
  <c r="T946"/>
  <c r="T945"/>
  <c r="T944"/>
  <c r="T943"/>
  <c r="T942"/>
  <c r="T941"/>
  <c r="T940"/>
  <c r="T939"/>
  <c r="T938"/>
  <c r="T937"/>
  <c r="T936"/>
  <c r="T935"/>
  <c r="E955"/>
  <c r="D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P930"/>
  <c r="O930"/>
  <c r="T929"/>
  <c r="T928"/>
  <c r="T927"/>
  <c r="T926"/>
  <c r="T925"/>
  <c r="T924"/>
  <c r="T923"/>
  <c r="T922"/>
  <c r="T921"/>
  <c r="T920"/>
  <c r="T919"/>
  <c r="T918"/>
  <c r="T917"/>
  <c r="T916"/>
  <c r="T915"/>
  <c r="T914"/>
  <c r="T913"/>
  <c r="T912"/>
  <c r="T911"/>
  <c r="T910"/>
  <c r="E930"/>
  <c r="D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P906"/>
  <c r="O906"/>
  <c r="T905"/>
  <c r="T904"/>
  <c r="T903"/>
  <c r="T902"/>
  <c r="T901"/>
  <c r="T900"/>
  <c r="T899"/>
  <c r="T898"/>
  <c r="T897"/>
  <c r="T896"/>
  <c r="T895"/>
  <c r="T894"/>
  <c r="T893"/>
  <c r="T892"/>
  <c r="T891"/>
  <c r="T890"/>
  <c r="T889"/>
  <c r="T888"/>
  <c r="T887"/>
  <c r="T886"/>
  <c r="E906"/>
  <c r="D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P857"/>
  <c r="O857"/>
  <c r="T856"/>
  <c r="T855"/>
  <c r="T854"/>
  <c r="T853"/>
  <c r="T852"/>
  <c r="T851"/>
  <c r="T850"/>
  <c r="T849"/>
  <c r="T848"/>
  <c r="T847"/>
  <c r="T846"/>
  <c r="T845"/>
  <c r="T844"/>
  <c r="T843"/>
  <c r="T842"/>
  <c r="T841"/>
  <c r="T840"/>
  <c r="T839"/>
  <c r="T838"/>
  <c r="T837"/>
  <c r="T857" s="1"/>
  <c r="E857"/>
  <c r="D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57" s="1"/>
  <c r="P881"/>
  <c r="O881"/>
  <c r="T880"/>
  <c r="T879"/>
  <c r="T878"/>
  <c r="T877"/>
  <c r="T876"/>
  <c r="T875"/>
  <c r="T874"/>
  <c r="T873"/>
  <c r="T872"/>
  <c r="T871"/>
  <c r="T870"/>
  <c r="T869"/>
  <c r="T868"/>
  <c r="T867"/>
  <c r="T866"/>
  <c r="T865"/>
  <c r="T864"/>
  <c r="T863"/>
  <c r="T862"/>
  <c r="T861"/>
  <c r="E881"/>
  <c r="D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P832"/>
  <c r="O832"/>
  <c r="T831"/>
  <c r="T830"/>
  <c r="T829"/>
  <c r="T828"/>
  <c r="T827"/>
  <c r="T826"/>
  <c r="T825"/>
  <c r="T824"/>
  <c r="T823"/>
  <c r="T822"/>
  <c r="T821"/>
  <c r="T820"/>
  <c r="T819"/>
  <c r="T818"/>
  <c r="T817"/>
  <c r="T816"/>
  <c r="T815"/>
  <c r="T814"/>
  <c r="T813"/>
  <c r="T812"/>
  <c r="E832"/>
  <c r="D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P807"/>
  <c r="O807"/>
  <c r="T806"/>
  <c r="T805"/>
  <c r="T804"/>
  <c r="T803"/>
  <c r="T802"/>
  <c r="T801"/>
  <c r="T800"/>
  <c r="T799"/>
  <c r="T798"/>
  <c r="T797"/>
  <c r="T796"/>
  <c r="T795"/>
  <c r="T794"/>
  <c r="T793"/>
  <c r="T792"/>
  <c r="T791"/>
  <c r="T790"/>
  <c r="T789"/>
  <c r="T788"/>
  <c r="T787"/>
  <c r="E807"/>
  <c r="D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807" s="1"/>
  <c r="P782"/>
  <c r="O782"/>
  <c r="T781"/>
  <c r="T780"/>
  <c r="T779"/>
  <c r="T778"/>
  <c r="T777"/>
  <c r="T776"/>
  <c r="T775"/>
  <c r="T774"/>
  <c r="T773"/>
  <c r="T772"/>
  <c r="T771"/>
  <c r="T770"/>
  <c r="T769"/>
  <c r="T768"/>
  <c r="T767"/>
  <c r="T766"/>
  <c r="T765"/>
  <c r="T764"/>
  <c r="T763"/>
  <c r="T762"/>
  <c r="E782"/>
  <c r="D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P757"/>
  <c r="O757"/>
  <c r="T756"/>
  <c r="T755"/>
  <c r="T754"/>
  <c r="T753"/>
  <c r="T752"/>
  <c r="T751"/>
  <c r="T750"/>
  <c r="T749"/>
  <c r="T748"/>
  <c r="T747"/>
  <c r="T746"/>
  <c r="T745"/>
  <c r="T744"/>
  <c r="T743"/>
  <c r="T742"/>
  <c r="T741"/>
  <c r="T740"/>
  <c r="T739"/>
  <c r="T738"/>
  <c r="T737"/>
  <c r="E757"/>
  <c r="D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P732"/>
  <c r="O732"/>
  <c r="T731"/>
  <c r="T730"/>
  <c r="T729"/>
  <c r="T728"/>
  <c r="T727"/>
  <c r="T726"/>
  <c r="T725"/>
  <c r="T724"/>
  <c r="T723"/>
  <c r="T722"/>
  <c r="T721"/>
  <c r="T720"/>
  <c r="T719"/>
  <c r="T718"/>
  <c r="T717"/>
  <c r="T716"/>
  <c r="T715"/>
  <c r="T714"/>
  <c r="T713"/>
  <c r="T712"/>
  <c r="E732"/>
  <c r="D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P707"/>
  <c r="O707"/>
  <c r="T706"/>
  <c r="T705"/>
  <c r="T704"/>
  <c r="T703"/>
  <c r="T702"/>
  <c r="T701"/>
  <c r="T700"/>
  <c r="T699"/>
  <c r="T698"/>
  <c r="T697"/>
  <c r="T696"/>
  <c r="T695"/>
  <c r="T694"/>
  <c r="T693"/>
  <c r="T692"/>
  <c r="T691"/>
  <c r="T690"/>
  <c r="T689"/>
  <c r="T688"/>
  <c r="T687"/>
  <c r="E707"/>
  <c r="D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E682"/>
  <c r="D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P683"/>
  <c r="O683"/>
  <c r="T682"/>
  <c r="T681"/>
  <c r="T680"/>
  <c r="T679"/>
  <c r="T678"/>
  <c r="T677"/>
  <c r="T676"/>
  <c r="T675"/>
  <c r="T674"/>
  <c r="T673"/>
  <c r="T672"/>
  <c r="T671"/>
  <c r="T670"/>
  <c r="T669"/>
  <c r="T668"/>
  <c r="T667"/>
  <c r="T666"/>
  <c r="T665"/>
  <c r="T664"/>
  <c r="T663"/>
  <c r="P659"/>
  <c r="O659"/>
  <c r="T658"/>
  <c r="T657"/>
  <c r="T656"/>
  <c r="T655"/>
  <c r="T654"/>
  <c r="T653"/>
  <c r="T652"/>
  <c r="T651"/>
  <c r="T650"/>
  <c r="T649"/>
  <c r="T648"/>
  <c r="T647"/>
  <c r="T646"/>
  <c r="T645"/>
  <c r="T644"/>
  <c r="T643"/>
  <c r="T642"/>
  <c r="T641"/>
  <c r="T640"/>
  <c r="T639"/>
  <c r="T659" s="1"/>
  <c r="E658"/>
  <c r="D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P633"/>
  <c r="O633"/>
  <c r="T632"/>
  <c r="T631"/>
  <c r="T630"/>
  <c r="T629"/>
  <c r="T628"/>
  <c r="T627"/>
  <c r="T626"/>
  <c r="T625"/>
  <c r="T624"/>
  <c r="T623"/>
  <c r="T622"/>
  <c r="T621"/>
  <c r="T620"/>
  <c r="T619"/>
  <c r="T618"/>
  <c r="T617"/>
  <c r="T616"/>
  <c r="T615"/>
  <c r="T614"/>
  <c r="T613"/>
  <c r="D558"/>
  <c r="O558"/>
  <c r="D583"/>
  <c r="O583"/>
  <c r="O608"/>
  <c r="D608"/>
  <c r="D633"/>
  <c r="E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P608"/>
  <c r="T607"/>
  <c r="T606"/>
  <c r="T605"/>
  <c r="T604"/>
  <c r="T603"/>
  <c r="T602"/>
  <c r="T601"/>
  <c r="T600"/>
  <c r="T599"/>
  <c r="T598"/>
  <c r="T597"/>
  <c r="T596"/>
  <c r="T595"/>
  <c r="T594"/>
  <c r="T593"/>
  <c r="T592"/>
  <c r="T591"/>
  <c r="T590"/>
  <c r="T589"/>
  <c r="T588"/>
  <c r="E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P583"/>
  <c r="T582"/>
  <c r="T581"/>
  <c r="T580"/>
  <c r="T579"/>
  <c r="T578"/>
  <c r="T577"/>
  <c r="T576"/>
  <c r="T575"/>
  <c r="T574"/>
  <c r="T573"/>
  <c r="T572"/>
  <c r="T571"/>
  <c r="T570"/>
  <c r="T569"/>
  <c r="T568"/>
  <c r="T567"/>
  <c r="T566"/>
  <c r="T565"/>
  <c r="T564"/>
  <c r="T563"/>
  <c r="E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P558"/>
  <c r="T557"/>
  <c r="T556"/>
  <c r="T555"/>
  <c r="T554"/>
  <c r="T553"/>
  <c r="T552"/>
  <c r="T551"/>
  <c r="T550"/>
  <c r="T549"/>
  <c r="T548"/>
  <c r="T547"/>
  <c r="T546"/>
  <c r="T545"/>
  <c r="T544"/>
  <c r="T543"/>
  <c r="T542"/>
  <c r="T541"/>
  <c r="T540"/>
  <c r="T539"/>
  <c r="T538"/>
  <c r="E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P533"/>
  <c r="O533"/>
  <c r="T532"/>
  <c r="T531"/>
  <c r="T530"/>
  <c r="T529"/>
  <c r="T528"/>
  <c r="T527"/>
  <c r="T526"/>
  <c r="T525"/>
  <c r="T524"/>
  <c r="T523"/>
  <c r="T522"/>
  <c r="T521"/>
  <c r="T520"/>
  <c r="T519"/>
  <c r="T518"/>
  <c r="T517"/>
  <c r="T516"/>
  <c r="T515"/>
  <c r="T514"/>
  <c r="T513"/>
  <c r="T533" s="1"/>
  <c r="E533"/>
  <c r="D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P508"/>
  <c r="O508"/>
  <c r="T507"/>
  <c r="T506"/>
  <c r="T505"/>
  <c r="T504"/>
  <c r="T503"/>
  <c r="T502"/>
  <c r="T501"/>
  <c r="T500"/>
  <c r="T499"/>
  <c r="T498"/>
  <c r="T497"/>
  <c r="T496"/>
  <c r="T495"/>
  <c r="T494"/>
  <c r="T493"/>
  <c r="T492"/>
  <c r="T491"/>
  <c r="T490"/>
  <c r="T489"/>
  <c r="T488"/>
  <c r="E508"/>
  <c r="D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508" s="1"/>
  <c r="P483"/>
  <c r="O483"/>
  <c r="T482"/>
  <c r="T481"/>
  <c r="T480"/>
  <c r="T479"/>
  <c r="T478"/>
  <c r="T477"/>
  <c r="T476"/>
  <c r="T475"/>
  <c r="T474"/>
  <c r="T473"/>
  <c r="T472"/>
  <c r="T471"/>
  <c r="T470"/>
  <c r="T469"/>
  <c r="T468"/>
  <c r="T467"/>
  <c r="T466"/>
  <c r="T465"/>
  <c r="T464"/>
  <c r="T463"/>
  <c r="H474"/>
  <c r="E483"/>
  <c r="D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S449"/>
  <c r="P458"/>
  <c r="O458"/>
  <c r="T457"/>
  <c r="T456"/>
  <c r="T455"/>
  <c r="T454"/>
  <c r="T453"/>
  <c r="T452"/>
  <c r="T451"/>
  <c r="T450"/>
  <c r="T449"/>
  <c r="T448"/>
  <c r="T447"/>
  <c r="T446"/>
  <c r="T445"/>
  <c r="T444"/>
  <c r="T443"/>
  <c r="T442"/>
  <c r="T441"/>
  <c r="T440"/>
  <c r="T439"/>
  <c r="T438"/>
  <c r="H449"/>
  <c r="E458"/>
  <c r="D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S424"/>
  <c r="P433"/>
  <c r="O433"/>
  <c r="T432"/>
  <c r="T431"/>
  <c r="T430"/>
  <c r="T429"/>
  <c r="T428"/>
  <c r="T427"/>
  <c r="T426"/>
  <c r="T425"/>
  <c r="T424"/>
  <c r="T423"/>
  <c r="T422"/>
  <c r="T421"/>
  <c r="T420"/>
  <c r="T419"/>
  <c r="T418"/>
  <c r="T417"/>
  <c r="T416"/>
  <c r="T415"/>
  <c r="T414"/>
  <c r="T413"/>
  <c r="E433"/>
  <c r="D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P408"/>
  <c r="O408"/>
  <c r="T407"/>
  <c r="T406"/>
  <c r="T405"/>
  <c r="T404"/>
  <c r="T403"/>
  <c r="T402"/>
  <c r="T401"/>
  <c r="T400"/>
  <c r="T399"/>
  <c r="T398"/>
  <c r="T397"/>
  <c r="T396"/>
  <c r="T395"/>
  <c r="T394"/>
  <c r="T393"/>
  <c r="T392"/>
  <c r="T391"/>
  <c r="T390"/>
  <c r="T389"/>
  <c r="T388"/>
  <c r="E408"/>
  <c r="D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P383"/>
  <c r="O383"/>
  <c r="T382"/>
  <c r="T381"/>
  <c r="T380"/>
  <c r="T379"/>
  <c r="T378"/>
  <c r="T377"/>
  <c r="T376"/>
  <c r="T375"/>
  <c r="T374"/>
  <c r="T373"/>
  <c r="T372"/>
  <c r="T371"/>
  <c r="T370"/>
  <c r="T369"/>
  <c r="T368"/>
  <c r="T367"/>
  <c r="T366"/>
  <c r="T365"/>
  <c r="T364"/>
  <c r="T363"/>
  <c r="D383"/>
  <c r="E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D358"/>
  <c r="O358"/>
  <c r="P358"/>
  <c r="T357"/>
  <c r="T356"/>
  <c r="T355"/>
  <c r="T354"/>
  <c r="T353"/>
  <c r="T352"/>
  <c r="T351"/>
  <c r="T350"/>
  <c r="T349"/>
  <c r="T348"/>
  <c r="T347"/>
  <c r="T346"/>
  <c r="T345"/>
  <c r="T344"/>
  <c r="T343"/>
  <c r="T342"/>
  <c r="T341"/>
  <c r="T340"/>
  <c r="T339"/>
  <c r="T338"/>
  <c r="S324"/>
  <c r="E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P333"/>
  <c r="T332"/>
  <c r="T331"/>
  <c r="T330"/>
  <c r="T329"/>
  <c r="T328"/>
  <c r="T327"/>
  <c r="T326"/>
  <c r="T325"/>
  <c r="T324"/>
  <c r="T323"/>
  <c r="T322"/>
  <c r="T321"/>
  <c r="T320"/>
  <c r="T319"/>
  <c r="T318"/>
  <c r="T317"/>
  <c r="T316"/>
  <c r="T315"/>
  <c r="T314"/>
  <c r="T313"/>
  <c r="E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P308"/>
  <c r="O308"/>
  <c r="E308"/>
  <c r="D308"/>
  <c r="P284"/>
  <c r="O284"/>
  <c r="E284"/>
  <c r="D284"/>
  <c r="P259"/>
  <c r="O259"/>
  <c r="E259"/>
  <c r="D259"/>
  <c r="P234"/>
  <c r="O234"/>
  <c r="E234"/>
  <c r="D234"/>
  <c r="P209"/>
  <c r="O209"/>
  <c r="E209"/>
  <c r="D209"/>
  <c r="P184"/>
  <c r="O184"/>
  <c r="E184"/>
  <c r="D184"/>
  <c r="P159"/>
  <c r="O159"/>
  <c r="E159"/>
  <c r="D159"/>
  <c r="P135"/>
  <c r="O135"/>
  <c r="E135"/>
  <c r="D135"/>
  <c r="P112"/>
  <c r="O112"/>
  <c r="E112"/>
  <c r="D112"/>
  <c r="P88"/>
  <c r="O88"/>
  <c r="E88"/>
  <c r="D88"/>
  <c r="P69"/>
  <c r="O69"/>
  <c r="E66"/>
  <c r="D66"/>
  <c r="P15"/>
  <c r="O15"/>
  <c r="P51"/>
  <c r="O51"/>
  <c r="E49"/>
  <c r="D49"/>
  <c r="P33"/>
  <c r="O33"/>
  <c r="E31"/>
  <c r="D31"/>
  <c r="E12"/>
  <c r="D12"/>
  <c r="X33"/>
  <c r="Z3"/>
  <c r="T307"/>
  <c r="T306"/>
  <c r="T305"/>
  <c r="T304"/>
  <c r="T303"/>
  <c r="T302"/>
  <c r="T301"/>
  <c r="T300"/>
  <c r="T299"/>
  <c r="T298"/>
  <c r="T297"/>
  <c r="T296"/>
  <c r="T295"/>
  <c r="T294"/>
  <c r="T293"/>
  <c r="T292"/>
  <c r="T291"/>
  <c r="T290"/>
  <c r="T289"/>
  <c r="T28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T283"/>
  <c r="T282"/>
  <c r="T281"/>
  <c r="T280"/>
  <c r="T279"/>
  <c r="T278"/>
  <c r="T277"/>
  <c r="T276"/>
  <c r="T275"/>
  <c r="T274"/>
  <c r="T273"/>
  <c r="T272"/>
  <c r="T271"/>
  <c r="T270"/>
  <c r="T269"/>
  <c r="T268"/>
  <c r="T267"/>
  <c r="T266"/>
  <c r="T265"/>
  <c r="T26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T258"/>
  <c r="T257"/>
  <c r="T256"/>
  <c r="T255"/>
  <c r="T254"/>
  <c r="T253"/>
  <c r="T252"/>
  <c r="T251"/>
  <c r="T250"/>
  <c r="T249"/>
  <c r="T248"/>
  <c r="T247"/>
  <c r="T246"/>
  <c r="T245"/>
  <c r="T244"/>
  <c r="T243"/>
  <c r="T242"/>
  <c r="T241"/>
  <c r="T240"/>
  <c r="T23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T233"/>
  <c r="T232"/>
  <c r="T231"/>
  <c r="T230"/>
  <c r="T229"/>
  <c r="T228"/>
  <c r="T227"/>
  <c r="T226"/>
  <c r="T225"/>
  <c r="T224"/>
  <c r="T223"/>
  <c r="T222"/>
  <c r="T221"/>
  <c r="T220"/>
  <c r="T219"/>
  <c r="T218"/>
  <c r="T217"/>
  <c r="T216"/>
  <c r="T215"/>
  <c r="T21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T208"/>
  <c r="T207"/>
  <c r="T206"/>
  <c r="T205"/>
  <c r="T204"/>
  <c r="T203"/>
  <c r="T202"/>
  <c r="T201"/>
  <c r="T200"/>
  <c r="T199"/>
  <c r="T198"/>
  <c r="T197"/>
  <c r="T196"/>
  <c r="T195"/>
  <c r="T194"/>
  <c r="T193"/>
  <c r="T192"/>
  <c r="T191"/>
  <c r="T190"/>
  <c r="T18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T183"/>
  <c r="T182"/>
  <c r="T181"/>
  <c r="T180"/>
  <c r="T179"/>
  <c r="T178"/>
  <c r="T177"/>
  <c r="T176"/>
  <c r="T175"/>
  <c r="T174"/>
  <c r="T173"/>
  <c r="T172"/>
  <c r="T171"/>
  <c r="T170"/>
  <c r="T169"/>
  <c r="T168"/>
  <c r="T167"/>
  <c r="T166"/>
  <c r="T165"/>
  <c r="T16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T158"/>
  <c r="T157"/>
  <c r="T156"/>
  <c r="T155"/>
  <c r="T154"/>
  <c r="T153"/>
  <c r="T152"/>
  <c r="T151"/>
  <c r="T150"/>
  <c r="T149"/>
  <c r="T148"/>
  <c r="T147"/>
  <c r="T146"/>
  <c r="T145"/>
  <c r="T144"/>
  <c r="T143"/>
  <c r="T142"/>
  <c r="T141"/>
  <c r="T140"/>
  <c r="T139"/>
  <c r="I157"/>
  <c r="I158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T87"/>
  <c r="T86"/>
  <c r="T85"/>
  <c r="T84"/>
  <c r="T83"/>
  <c r="T82"/>
  <c r="T81"/>
  <c r="T80"/>
  <c r="T79"/>
  <c r="T78"/>
  <c r="T77"/>
  <c r="T76"/>
  <c r="T75"/>
  <c r="T74"/>
  <c r="I87"/>
  <c r="I86"/>
  <c r="I85"/>
  <c r="I84"/>
  <c r="I83"/>
  <c r="I82"/>
  <c r="I81"/>
  <c r="I80"/>
  <c r="I79"/>
  <c r="I78"/>
  <c r="I77"/>
  <c r="I76"/>
  <c r="I75"/>
  <c r="I74"/>
  <c r="T68"/>
  <c r="T67"/>
  <c r="T66"/>
  <c r="T65"/>
  <c r="T64"/>
  <c r="T63"/>
  <c r="T62"/>
  <c r="T61"/>
  <c r="T60"/>
  <c r="T59"/>
  <c r="T58"/>
  <c r="T57"/>
  <c r="T56"/>
  <c r="I65"/>
  <c r="I64"/>
  <c r="I63"/>
  <c r="I62"/>
  <c r="I61"/>
  <c r="I60"/>
  <c r="I59"/>
  <c r="I58"/>
  <c r="I66" s="1"/>
  <c r="I57"/>
  <c r="I56"/>
  <c r="I55"/>
  <c r="I54"/>
  <c r="T50"/>
  <c r="T49"/>
  <c r="T48"/>
  <c r="T47"/>
  <c r="T46"/>
  <c r="T45"/>
  <c r="T44"/>
  <c r="T43"/>
  <c r="T42"/>
  <c r="T41"/>
  <c r="T40"/>
  <c r="T39"/>
  <c r="T38"/>
  <c r="T37"/>
  <c r="I48"/>
  <c r="I47"/>
  <c r="I46"/>
  <c r="I45"/>
  <c r="I44"/>
  <c r="I43"/>
  <c r="I42"/>
  <c r="I41"/>
  <c r="I40"/>
  <c r="I39"/>
  <c r="I38"/>
  <c r="I37"/>
  <c r="I36"/>
  <c r="T32"/>
  <c r="T31"/>
  <c r="T30"/>
  <c r="T29"/>
  <c r="T28"/>
  <c r="T27"/>
  <c r="T26"/>
  <c r="T25"/>
  <c r="T24"/>
  <c r="T23"/>
  <c r="T22"/>
  <c r="T21"/>
  <c r="T20"/>
  <c r="T19"/>
  <c r="T33" s="1"/>
  <c r="T14"/>
  <c r="T13"/>
  <c r="T12"/>
  <c r="T11"/>
  <c r="T10"/>
  <c r="T9"/>
  <c r="T8"/>
  <c r="T7"/>
  <c r="T6"/>
  <c r="T5"/>
  <c r="T4"/>
  <c r="T3"/>
  <c r="T15" s="1"/>
  <c r="I16"/>
  <c r="I30"/>
  <c r="I25"/>
  <c r="I23"/>
  <c r="I24"/>
  <c r="I22"/>
  <c r="I29"/>
  <c r="I28"/>
  <c r="I27"/>
  <c r="I17"/>
  <c r="I21"/>
  <c r="I20"/>
  <c r="I19"/>
  <c r="I26"/>
  <c r="I18"/>
  <c r="I11"/>
  <c r="I10"/>
  <c r="I9"/>
  <c r="I8"/>
  <c r="I7"/>
  <c r="I6"/>
  <c r="I5"/>
  <c r="I4"/>
  <c r="I3"/>
  <c r="I2"/>
  <c r="I1101" l="1"/>
  <c r="U1076"/>
  <c r="I1076"/>
  <c r="U1052"/>
  <c r="I1052"/>
  <c r="U1003"/>
  <c r="I1003"/>
  <c r="U1028"/>
  <c r="I1028"/>
  <c r="U979"/>
  <c r="I979"/>
  <c r="T955"/>
  <c r="I955"/>
  <c r="T930"/>
  <c r="I930"/>
  <c r="T906"/>
  <c r="I906"/>
  <c r="T881"/>
  <c r="I881"/>
  <c r="T832"/>
  <c r="I832"/>
  <c r="T807"/>
  <c r="T782"/>
  <c r="I782"/>
  <c r="T757"/>
  <c r="I757"/>
  <c r="T732"/>
  <c r="I732"/>
  <c r="T707"/>
  <c r="I707"/>
  <c r="T683"/>
  <c r="I682"/>
  <c r="I658"/>
  <c r="T633"/>
  <c r="I608"/>
  <c r="I633"/>
  <c r="T608"/>
  <c r="T583"/>
  <c r="I583"/>
  <c r="T558"/>
  <c r="I558"/>
  <c r="I533"/>
  <c r="T508"/>
  <c r="T483"/>
  <c r="I483"/>
  <c r="T458"/>
  <c r="I458"/>
  <c r="T433"/>
  <c r="I433"/>
  <c r="T408"/>
  <c r="I408"/>
  <c r="T383"/>
  <c r="I383"/>
  <c r="T358"/>
  <c r="I358"/>
  <c r="T333"/>
  <c r="I333"/>
  <c r="T159"/>
  <c r="I135"/>
  <c r="T112"/>
  <c r="T88"/>
  <c r="I88"/>
  <c r="T69"/>
  <c r="T51"/>
  <c r="I49"/>
  <c r="T308"/>
  <c r="I308"/>
  <c r="T284"/>
  <c r="I284"/>
  <c r="T259"/>
  <c r="T234"/>
  <c r="I259"/>
  <c r="I234"/>
  <c r="T209"/>
  <c r="I209"/>
  <c r="T184"/>
  <c r="I184"/>
  <c r="I159"/>
  <c r="T135"/>
  <c r="I31"/>
  <c r="I12"/>
</calcChain>
</file>

<file path=xl/sharedStrings.xml><?xml version="1.0" encoding="utf-8"?>
<sst xmlns="http://schemas.openxmlformats.org/spreadsheetml/2006/main" count="4958" uniqueCount="273">
  <si>
    <t>S/N</t>
  </si>
  <si>
    <t>DETACH</t>
  </si>
  <si>
    <t>DATE</t>
  </si>
  <si>
    <t>M/A</t>
  </si>
  <si>
    <t>F/A</t>
  </si>
  <si>
    <t>M/J</t>
  </si>
  <si>
    <t>F/J</t>
  </si>
  <si>
    <t>TC</t>
  </si>
  <si>
    <t>TOTAL</t>
  </si>
  <si>
    <t>SIGULU</t>
  </si>
  <si>
    <t>1st/4/25</t>
  </si>
  <si>
    <t>NKOSE</t>
  </si>
  <si>
    <t>BWONDHA</t>
  </si>
  <si>
    <t>KASENSERO</t>
  </si>
  <si>
    <t>PANYIMUR</t>
  </si>
  <si>
    <t>KATOSI</t>
  </si>
  <si>
    <t>KALANGALA</t>
  </si>
  <si>
    <t>LOLWE</t>
  </si>
  <si>
    <t>BUKUNGU</t>
  </si>
  <si>
    <t>JINJA</t>
  </si>
  <si>
    <t>KASENYI</t>
  </si>
  <si>
    <t>BUVUMA</t>
  </si>
  <si>
    <t>Total</t>
  </si>
  <si>
    <t>Manifests for 10th/APRIL/2025</t>
  </si>
  <si>
    <t>10th/4/25</t>
  </si>
  <si>
    <t>SEBAGORO</t>
  </si>
  <si>
    <t>BUTIABA</t>
  </si>
  <si>
    <t>ZENGEBE</t>
  </si>
  <si>
    <t>MANIFESTS FOR 2ND APRIL 2025</t>
  </si>
  <si>
    <t>2nd/4/25</t>
  </si>
  <si>
    <t>FOR 3RD APRIL 2025</t>
  </si>
  <si>
    <t>3rd/4/25</t>
  </si>
  <si>
    <t>LUGALA</t>
  </si>
  <si>
    <t>MANIFESTS FOR 4TH APRIL 2025</t>
  </si>
  <si>
    <t>4th/4/25</t>
  </si>
  <si>
    <t>MANIFESTS FOR 5TH APRIL 2025</t>
  </si>
  <si>
    <t>5th/4/25</t>
  </si>
  <si>
    <t>LUGUMBA</t>
  </si>
  <si>
    <t>MANIFESTS FOR 6TH APRIL 2025</t>
  </si>
  <si>
    <t>6th/4/25</t>
  </si>
  <si>
    <t>S FOR 7th APRIL 2025</t>
  </si>
  <si>
    <t>7th/4/25</t>
  </si>
  <si>
    <t>S FOR 8th APRIL 2025</t>
  </si>
  <si>
    <t>8th/4/25</t>
  </si>
  <si>
    <t>S FOR 9th APRIL 2025</t>
  </si>
  <si>
    <t>9th/4/25</t>
  </si>
  <si>
    <t>S FOR 11th APRIL 2025</t>
  </si>
  <si>
    <t>11th/4/25</t>
  </si>
  <si>
    <t>LIIBU</t>
  </si>
  <si>
    <t>SAMBA</t>
  </si>
  <si>
    <t>VSE</t>
  </si>
  <si>
    <t>ZONE</t>
  </si>
  <si>
    <t>VS</t>
  </si>
  <si>
    <t>VE</t>
  </si>
  <si>
    <t>Albertine</t>
  </si>
  <si>
    <t>VN</t>
  </si>
  <si>
    <t>KYOGA</t>
  </si>
  <si>
    <t>VSW</t>
  </si>
  <si>
    <t>Kyoga</t>
  </si>
  <si>
    <t>VNE</t>
  </si>
  <si>
    <t>12th/4/25</t>
  </si>
  <si>
    <t>S FOR 12th APRIL 2025</t>
  </si>
  <si>
    <t>S FOR 13th APRIL 2025</t>
  </si>
  <si>
    <t>13th/4/25</t>
  </si>
  <si>
    <t>13th/4/26</t>
  </si>
  <si>
    <t>13th/4/27</t>
  </si>
  <si>
    <t>13th/4/28</t>
  </si>
  <si>
    <t>13th/4/29</t>
  </si>
  <si>
    <t>13th/4/30</t>
  </si>
  <si>
    <t>13th/4/31</t>
  </si>
  <si>
    <t>13th/4/32</t>
  </si>
  <si>
    <t>13th/4/33</t>
  </si>
  <si>
    <t>13th/4/34</t>
  </si>
  <si>
    <t>13th/4/35</t>
  </si>
  <si>
    <t>13th/4/36</t>
  </si>
  <si>
    <t>13th/4/37</t>
  </si>
  <si>
    <t>13th/4/38</t>
  </si>
  <si>
    <t>13th/4/39</t>
  </si>
  <si>
    <t>13th/4/40</t>
  </si>
  <si>
    <t>13th/4/41</t>
  </si>
  <si>
    <t>13th/4/42</t>
  </si>
  <si>
    <t>13th/4/43</t>
  </si>
  <si>
    <t>5 (SUNDAY)</t>
  </si>
  <si>
    <t>S FOR 14th APRIL 2025</t>
  </si>
  <si>
    <t>14th/4/25</t>
  </si>
  <si>
    <t>14th/4/26</t>
  </si>
  <si>
    <t>14th/4/27</t>
  </si>
  <si>
    <t>14th/4/28</t>
  </si>
  <si>
    <t>14th/4/29</t>
  </si>
  <si>
    <t>14th/4/30</t>
  </si>
  <si>
    <t>14th/4/31</t>
  </si>
  <si>
    <t>14th/4/32</t>
  </si>
  <si>
    <t>14th/4/33</t>
  </si>
  <si>
    <t>14th/4/34</t>
  </si>
  <si>
    <t>14th/4/35</t>
  </si>
  <si>
    <t>14th/4/36</t>
  </si>
  <si>
    <t>14th/4/37</t>
  </si>
  <si>
    <t>14th/4/38</t>
  </si>
  <si>
    <t>14th/4/39</t>
  </si>
  <si>
    <t>14th/4/40</t>
  </si>
  <si>
    <t>14th/4/41</t>
  </si>
  <si>
    <t>14th/4/42</t>
  </si>
  <si>
    <t>14th/4/43</t>
  </si>
  <si>
    <t>5 MONDAY</t>
  </si>
  <si>
    <t>KAWONGO</t>
  </si>
  <si>
    <t>S FOR 15th APRIL 2025 (TUESDAY)</t>
  </si>
  <si>
    <t>15th/4/25</t>
  </si>
  <si>
    <t>15th/4/26</t>
  </si>
  <si>
    <t>15th/4/27</t>
  </si>
  <si>
    <t>15th/4/28</t>
  </si>
  <si>
    <t>15th/4/29</t>
  </si>
  <si>
    <t>15th/4/30</t>
  </si>
  <si>
    <t>15th/4/31</t>
  </si>
  <si>
    <t>15th/4/32</t>
  </si>
  <si>
    <t>15th/4/33</t>
  </si>
  <si>
    <t>15th/4/34</t>
  </si>
  <si>
    <t>15th/4/35</t>
  </si>
  <si>
    <t>15th/4/36</t>
  </si>
  <si>
    <t>15th/4/37</t>
  </si>
  <si>
    <t>15th/4/38</t>
  </si>
  <si>
    <t>15th/4/39</t>
  </si>
  <si>
    <t>15th/4/40</t>
  </si>
  <si>
    <t>15th/4/41</t>
  </si>
  <si>
    <t>15th/4/42</t>
  </si>
  <si>
    <t>15th/4/43</t>
  </si>
  <si>
    <t>15th/4/44</t>
  </si>
  <si>
    <t>S FOR 16th APRIL 2025</t>
  </si>
  <si>
    <t>5 WEDNESDAY</t>
  </si>
  <si>
    <t>16th/4/25</t>
  </si>
  <si>
    <t>16th/4/26</t>
  </si>
  <si>
    <t>16th/4/27</t>
  </si>
  <si>
    <t>16th/4/28</t>
  </si>
  <si>
    <t>16th/4/29</t>
  </si>
  <si>
    <t>16th/4/30</t>
  </si>
  <si>
    <t>16th/4/31</t>
  </si>
  <si>
    <t>16th/4/32</t>
  </si>
  <si>
    <t>16th/4/33</t>
  </si>
  <si>
    <t>16th/4/34</t>
  </si>
  <si>
    <t>16th/4/35</t>
  </si>
  <si>
    <t>16th/4/36</t>
  </si>
  <si>
    <t>16th/4/37</t>
  </si>
  <si>
    <t>16th/4/38</t>
  </si>
  <si>
    <t>16th/4/39</t>
  </si>
  <si>
    <t>16th/4/40</t>
  </si>
  <si>
    <t>16th/4/41</t>
  </si>
  <si>
    <t>16th/4/42</t>
  </si>
  <si>
    <t>16th/4/43</t>
  </si>
  <si>
    <t>16th/4/44</t>
  </si>
  <si>
    <t>S FOR 17th/4/2025 THURSDAY</t>
  </si>
  <si>
    <t>17th/4/25</t>
  </si>
  <si>
    <t>17th/4/26</t>
  </si>
  <si>
    <t>17th/4/27</t>
  </si>
  <si>
    <t>17th/4/28</t>
  </si>
  <si>
    <t>17th/4/29</t>
  </si>
  <si>
    <t>17th/4/30</t>
  </si>
  <si>
    <t>17th/4/31</t>
  </si>
  <si>
    <t>17th/4/32</t>
  </si>
  <si>
    <t>17th/4/33</t>
  </si>
  <si>
    <t>17th/4/34</t>
  </si>
  <si>
    <t>17th/4/35</t>
  </si>
  <si>
    <t>17th/4/36</t>
  </si>
  <si>
    <t>17th/4/37</t>
  </si>
  <si>
    <t>17th/4/38</t>
  </si>
  <si>
    <t>17th/4/39</t>
  </si>
  <si>
    <t>17th/4/40</t>
  </si>
  <si>
    <t>17th/4/41</t>
  </si>
  <si>
    <t>17th/4/42</t>
  </si>
  <si>
    <t>17th/4/43</t>
  </si>
  <si>
    <t>17th/4/44</t>
  </si>
  <si>
    <t>S FOR 18th/04/20225 FRIDAY</t>
  </si>
  <si>
    <t>18th/4/25</t>
  </si>
  <si>
    <t>18th/4/26</t>
  </si>
  <si>
    <t>18th/4/27</t>
  </si>
  <si>
    <t>18th/4/28</t>
  </si>
  <si>
    <t>18th/4/29</t>
  </si>
  <si>
    <t>18th/4/30</t>
  </si>
  <si>
    <t>18th/4/31</t>
  </si>
  <si>
    <t>18th/4/32</t>
  </si>
  <si>
    <t>18th/4/33</t>
  </si>
  <si>
    <t>18th/4/34</t>
  </si>
  <si>
    <t>18th/4/35</t>
  </si>
  <si>
    <t>18th/4/36</t>
  </si>
  <si>
    <t>18th/4/37</t>
  </si>
  <si>
    <t>18th/4/38</t>
  </si>
  <si>
    <t>18th/4/39</t>
  </si>
  <si>
    <t>18th/4/40</t>
  </si>
  <si>
    <t>18th/4/41</t>
  </si>
  <si>
    <t>18th/4/42</t>
  </si>
  <si>
    <t>18th/4/43</t>
  </si>
  <si>
    <t>18th/4/44</t>
  </si>
  <si>
    <t>S FOR 19TH/04/2025 SATRDAY</t>
  </si>
  <si>
    <t>SATURDAY</t>
  </si>
  <si>
    <t>(GOOD FRIDAY)</t>
  </si>
  <si>
    <t>?</t>
  </si>
  <si>
    <t>S FOR 20TH/04/2025 SUNDAY</t>
  </si>
  <si>
    <t>(EASTER)</t>
  </si>
  <si>
    <t>S FOR 21st APRIL 2025 SUNDAY</t>
  </si>
  <si>
    <t>Sunday</t>
  </si>
  <si>
    <t>S FOR 22nd APRIL 2025</t>
  </si>
  <si>
    <t>5 TUESDAY</t>
  </si>
  <si>
    <t xml:space="preserve">S FOR 23rd APRIL 2025 </t>
  </si>
  <si>
    <t xml:space="preserve">S FOR 24th APRIL 2025 </t>
  </si>
  <si>
    <t>S FOR 25th APRIL 2025</t>
  </si>
  <si>
    <t>S FOR26th APRIL 2025</t>
  </si>
  <si>
    <t>S FOR27th APRIL 2025</t>
  </si>
  <si>
    <t>S FOR28th APRIL 2025</t>
  </si>
  <si>
    <t>SN</t>
  </si>
  <si>
    <t>NUMBER</t>
  </si>
  <si>
    <t>AVG</t>
  </si>
  <si>
    <t>S FOR 29THth APRIL 2025</t>
  </si>
  <si>
    <t>S FOR 30th APRIL 2025</t>
  </si>
  <si>
    <t>S FOR 1st MAY 2025</t>
  </si>
  <si>
    <t>S FOR 2nd MAY 2025</t>
  </si>
  <si>
    <t>S FOR 3rd MAY 2025</t>
  </si>
  <si>
    <t>S FOR 4th MAY 2025</t>
  </si>
  <si>
    <t>S FOR 5th MAY 2025</t>
  </si>
  <si>
    <t>S FOR 6th MAY 2025</t>
  </si>
  <si>
    <t>S FOR 7th MAY 2025</t>
  </si>
  <si>
    <t>S FOR 8th MAY 2025</t>
  </si>
  <si>
    <t>S FOR 9th MAY 2025</t>
  </si>
  <si>
    <t>S FOR 10th MAY 2025</t>
  </si>
  <si>
    <t>S FOR 11th MAY 2025</t>
  </si>
  <si>
    <t>S FOR 12th MAY 2025</t>
  </si>
  <si>
    <t>S FOR 13th MAY 2025</t>
  </si>
  <si>
    <t>S FOR 14th MAY 2025</t>
  </si>
  <si>
    <t>S FOR 15th MAY 2025</t>
  </si>
  <si>
    <t>S FOR 16th MAY 2025</t>
  </si>
  <si>
    <t>S FOR 17th MAY 2025</t>
  </si>
  <si>
    <t>S FOR 18th MAY 2025</t>
  </si>
  <si>
    <t>S FOR 19th MAY 2025</t>
  </si>
  <si>
    <t>S FOR 20th MAY 2025</t>
  </si>
  <si>
    <t>S FOR 21st MAY 2025</t>
  </si>
  <si>
    <t>S FOR 22nd MAY 2025</t>
  </si>
  <si>
    <t>S FOR 23rd MAY 2025</t>
  </si>
  <si>
    <t>S FOR 24th MAY 2025</t>
  </si>
  <si>
    <t>S FOR 25th MAY 2025</t>
  </si>
  <si>
    <t>S FOR 26th MAY 2025</t>
  </si>
  <si>
    <t>S FOR 27th MAY 2025</t>
  </si>
  <si>
    <t>S FOR 28th MAY 2025</t>
  </si>
  <si>
    <t>S FOR 29th MAY 2025</t>
  </si>
  <si>
    <t>S FOR 30th MAY 2025</t>
  </si>
  <si>
    <t>S FOR 31st MAY 2025</t>
  </si>
  <si>
    <t>S FOR 1st JUNE 2025</t>
  </si>
  <si>
    <t>S FOR 2nd JUNE 2025</t>
  </si>
  <si>
    <t>S FOR 3rd JUNE 2025</t>
  </si>
  <si>
    <t>S FOR 4th JUNE 2025</t>
  </si>
  <si>
    <t>S FOR 5th JUNE 2025</t>
  </si>
  <si>
    <t>S FOR 6th JUNE 2025</t>
  </si>
  <si>
    <t>S FOR 7th JUNE 2025</t>
  </si>
  <si>
    <t>S FOR 8th JUNE 2025</t>
  </si>
  <si>
    <t>S FOR 9th JUNE 2025</t>
  </si>
  <si>
    <t>S FOR 10th JUNE 2025</t>
  </si>
  <si>
    <t>S FOR 11th JUNE 2025</t>
  </si>
  <si>
    <t>S FOR 12th JUNE 2025</t>
  </si>
  <si>
    <t>S FOR 13th JUNE 2025</t>
  </si>
  <si>
    <t>S FOR 14th JUNE 2025</t>
  </si>
  <si>
    <t>S FOR 15th JUNE 2025</t>
  </si>
  <si>
    <t>S FOR 16th JUNE 2025</t>
  </si>
  <si>
    <t>S FOR 17th JUNE 2025</t>
  </si>
  <si>
    <t>S FOR 18th JUNE 2025</t>
  </si>
  <si>
    <t>S FOR 19th JUNE 2025</t>
  </si>
  <si>
    <t>S FOR 20th JUNE 2025</t>
  </si>
  <si>
    <t>S FOR 21st JUNE 2025</t>
  </si>
  <si>
    <t>S FOR 22nd JUNE 2025</t>
  </si>
  <si>
    <t>S FOR 23rd JUNE 2025</t>
  </si>
  <si>
    <t>S FOR 24th JUNE 2025</t>
  </si>
  <si>
    <t>S FOR 25th JUNE 2025</t>
  </si>
  <si>
    <t>S FOR 26th JUNE 2025</t>
  </si>
  <si>
    <t>S FOR 27th JUNE 2025</t>
  </si>
  <si>
    <t>S FOR 28th JUNE 2025</t>
  </si>
  <si>
    <t>S FOR 29th JUNE 2025</t>
  </si>
  <si>
    <t>S FOR 30th JUNE 2025</t>
  </si>
  <si>
    <t>30th/6/25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</si>
</sst>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M958:T978" totalsRowShown="0">
  <autoFilter ref="M958:T978"/>
  <tableColumns count="8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982:I1002" totalsRowShown="0">
  <autoFilter ref="A982:I1002"/>
  <tableColumns count="9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  <tableColumn id="9" name="TOTAL">
      <calculatedColumnFormula>D983+E983+H983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M982:T1002" totalsRowShown="0">
  <autoFilter ref="M982:T1002"/>
  <tableColumns count="8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007:H1027" totalsRowShown="0">
  <autoFilter ref="A1007:H1027"/>
  <tableColumns count="8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M1007:T1027" totalsRowShown="0">
  <autoFilter ref="M1007:T1027"/>
  <tableColumns count="8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031:I1051" totalsRowShown="0">
  <autoFilter ref="A1031:I1051"/>
  <tableColumns count="9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  <tableColumn id="9" name="TOTAL">
      <calculatedColumnFormula>D1032+E1032+H1032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M1031:T1051" totalsRowShown="0">
  <autoFilter ref="M1031:T1051"/>
  <tableColumns count="8">
    <tableColumn id="1" name="S/N"/>
    <tableColumn id="2" name="DETACH"/>
    <tableColumn id="3" name="DATE"/>
    <tableColumn id="4" name="M/A"/>
    <tableColumn id="5" name="F/A"/>
    <tableColumn id="6" name="M/J"/>
    <tableColumn id="7" name="F/J"/>
    <tableColumn id="8" name="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01"/>
  <sheetViews>
    <sheetView tabSelected="1" topLeftCell="A1078" workbookViewId="0">
      <selection activeCell="K1099" sqref="K1099"/>
    </sheetView>
  </sheetViews>
  <sheetFormatPr defaultRowHeight="15"/>
  <cols>
    <col min="2" max="2" width="10.140625" customWidth="1"/>
    <col min="3" max="3" width="10.140625" bestFit="1" customWidth="1"/>
    <col min="14" max="14" width="10.140625" customWidth="1"/>
    <col min="15" max="15" width="9.42578125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51</v>
      </c>
      <c r="M1" s="1" t="s">
        <v>28</v>
      </c>
    </row>
    <row r="2" spans="1:26">
      <c r="A2">
        <v>1</v>
      </c>
      <c r="B2" t="s">
        <v>9</v>
      </c>
      <c r="C2" t="s">
        <v>10</v>
      </c>
      <c r="D2">
        <v>31</v>
      </c>
      <c r="E2">
        <v>30</v>
      </c>
      <c r="F2">
        <v>7</v>
      </c>
      <c r="G2">
        <v>8</v>
      </c>
      <c r="H2">
        <v>15</v>
      </c>
      <c r="I2">
        <f>D2+E2+H2</f>
        <v>76</v>
      </c>
      <c r="J2" t="s">
        <v>50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51</v>
      </c>
      <c r="W2" t="s">
        <v>206</v>
      </c>
      <c r="X2" t="s">
        <v>207</v>
      </c>
    </row>
    <row r="3" spans="1:26">
      <c r="A3">
        <v>2</v>
      </c>
      <c r="B3" t="s">
        <v>11</v>
      </c>
      <c r="C3" t="s">
        <v>10</v>
      </c>
      <c r="D3">
        <v>15</v>
      </c>
      <c r="E3">
        <v>5</v>
      </c>
      <c r="F3">
        <v>0</v>
      </c>
      <c r="G3">
        <v>0</v>
      </c>
      <c r="H3">
        <v>0</v>
      </c>
      <c r="I3">
        <f>D3+E3+H3</f>
        <v>20</v>
      </c>
      <c r="J3" t="s">
        <v>52</v>
      </c>
      <c r="L3">
        <v>1</v>
      </c>
      <c r="M3" t="s">
        <v>9</v>
      </c>
      <c r="N3" t="s">
        <v>29</v>
      </c>
      <c r="T3">
        <f>O3+P3+S3</f>
        <v>0</v>
      </c>
      <c r="U3" t="s">
        <v>50</v>
      </c>
      <c r="W3">
        <v>1</v>
      </c>
      <c r="X3">
        <v>1109</v>
      </c>
      <c r="Z3">
        <f>(X3+X4+X5+X6+X7+X8+X9+X10+X11+X12+X13+X14+X15+X16+X17+X18+X19+X20+X21+X22+X23+X24+X25+X26+X27+X28+X29+X30+X31+X32)/30</f>
        <v>1348.3666666666666</v>
      </c>
    </row>
    <row r="4" spans="1:26">
      <c r="A4">
        <v>3</v>
      </c>
      <c r="B4" t="s">
        <v>12</v>
      </c>
      <c r="C4" t="s">
        <v>10</v>
      </c>
      <c r="D4">
        <v>82</v>
      </c>
      <c r="E4">
        <v>39</v>
      </c>
      <c r="F4">
        <v>0</v>
      </c>
      <c r="G4">
        <v>0</v>
      </c>
      <c r="H4">
        <v>0</v>
      </c>
      <c r="I4">
        <f>SUM(D4,E4,H4)</f>
        <v>121</v>
      </c>
      <c r="J4" t="s">
        <v>53</v>
      </c>
      <c r="L4">
        <v>2</v>
      </c>
      <c r="M4" t="s">
        <v>11</v>
      </c>
      <c r="N4" t="s">
        <v>29</v>
      </c>
      <c r="O4">
        <v>8</v>
      </c>
      <c r="P4">
        <v>3</v>
      </c>
      <c r="Q4">
        <v>1</v>
      </c>
      <c r="R4">
        <v>2</v>
      </c>
      <c r="S4">
        <v>3</v>
      </c>
      <c r="T4">
        <f>O4+P4+S4</f>
        <v>14</v>
      </c>
      <c r="U4" t="s">
        <v>52</v>
      </c>
      <c r="W4">
        <v>2</v>
      </c>
      <c r="X4">
        <v>1163</v>
      </c>
    </row>
    <row r="5" spans="1:26">
      <c r="A5">
        <v>4</v>
      </c>
      <c r="B5" t="s">
        <v>13</v>
      </c>
      <c r="C5" t="s">
        <v>10</v>
      </c>
      <c r="D5">
        <v>26</v>
      </c>
      <c r="E5">
        <v>8</v>
      </c>
      <c r="F5">
        <v>1</v>
      </c>
      <c r="G5">
        <v>0</v>
      </c>
      <c r="H5">
        <v>1</v>
      </c>
      <c r="I5">
        <f t="shared" ref="I5:I11" si="0">D5+E5+H5</f>
        <v>35</v>
      </c>
      <c r="J5" t="s">
        <v>52</v>
      </c>
      <c r="L5">
        <v>3</v>
      </c>
      <c r="M5" t="s">
        <v>12</v>
      </c>
      <c r="N5" t="s">
        <v>29</v>
      </c>
      <c r="O5">
        <v>32</v>
      </c>
      <c r="P5">
        <v>21</v>
      </c>
      <c r="Q5">
        <v>0</v>
      </c>
      <c r="R5">
        <v>0</v>
      </c>
      <c r="S5">
        <v>0</v>
      </c>
      <c r="T5">
        <f>SUM(O5,P5,S5)</f>
        <v>53</v>
      </c>
      <c r="U5" t="s">
        <v>53</v>
      </c>
      <c r="W5">
        <v>3</v>
      </c>
      <c r="X5">
        <v>1493</v>
      </c>
    </row>
    <row r="6" spans="1:26">
      <c r="A6">
        <v>5</v>
      </c>
      <c r="B6" t="s">
        <v>14</v>
      </c>
      <c r="C6" t="s">
        <v>10</v>
      </c>
      <c r="D6">
        <v>103</v>
      </c>
      <c r="E6">
        <v>125</v>
      </c>
      <c r="F6">
        <v>0</v>
      </c>
      <c r="G6">
        <v>0</v>
      </c>
      <c r="H6">
        <v>0</v>
      </c>
      <c r="I6">
        <f t="shared" si="0"/>
        <v>228</v>
      </c>
      <c r="J6" t="s">
        <v>54</v>
      </c>
      <c r="L6">
        <v>4</v>
      </c>
      <c r="M6" t="s">
        <v>13</v>
      </c>
      <c r="N6" t="s">
        <v>29</v>
      </c>
      <c r="O6">
        <v>31</v>
      </c>
      <c r="P6">
        <v>11</v>
      </c>
      <c r="Q6">
        <v>0</v>
      </c>
      <c r="R6">
        <v>0</v>
      </c>
      <c r="S6">
        <v>0</v>
      </c>
      <c r="T6">
        <f t="shared" ref="T6:T12" si="1">O6+P6+S6</f>
        <v>42</v>
      </c>
      <c r="U6" t="s">
        <v>52</v>
      </c>
      <c r="W6">
        <v>4</v>
      </c>
      <c r="X6">
        <v>1546</v>
      </c>
    </row>
    <row r="7" spans="1:26">
      <c r="A7">
        <v>6</v>
      </c>
      <c r="B7" t="s">
        <v>15</v>
      </c>
      <c r="C7" t="s">
        <v>10</v>
      </c>
      <c r="D7">
        <v>88</v>
      </c>
      <c r="E7">
        <v>62</v>
      </c>
      <c r="F7">
        <v>0</v>
      </c>
      <c r="G7">
        <v>0</v>
      </c>
      <c r="H7">
        <v>0</v>
      </c>
      <c r="I7">
        <f t="shared" si="0"/>
        <v>150</v>
      </c>
      <c r="J7" t="s">
        <v>55</v>
      </c>
      <c r="L7">
        <v>5</v>
      </c>
      <c r="M7" t="s">
        <v>14</v>
      </c>
      <c r="N7" t="s">
        <v>29</v>
      </c>
      <c r="O7">
        <v>62</v>
      </c>
      <c r="P7">
        <v>68</v>
      </c>
      <c r="Q7">
        <v>0</v>
      </c>
      <c r="R7">
        <v>0</v>
      </c>
      <c r="S7">
        <v>0</v>
      </c>
      <c r="T7">
        <f t="shared" si="1"/>
        <v>130</v>
      </c>
      <c r="U7" t="s">
        <v>54</v>
      </c>
      <c r="W7">
        <v>5</v>
      </c>
      <c r="X7">
        <v>1170</v>
      </c>
    </row>
    <row r="8" spans="1:26">
      <c r="A8">
        <v>7</v>
      </c>
      <c r="B8" t="s">
        <v>16</v>
      </c>
      <c r="C8" t="s">
        <v>10</v>
      </c>
      <c r="D8">
        <v>45</v>
      </c>
      <c r="E8">
        <v>46</v>
      </c>
      <c r="F8">
        <v>0</v>
      </c>
      <c r="G8">
        <v>0</v>
      </c>
      <c r="H8">
        <v>0</v>
      </c>
      <c r="I8">
        <f t="shared" si="0"/>
        <v>91</v>
      </c>
      <c r="J8" t="s">
        <v>52</v>
      </c>
      <c r="L8">
        <v>6</v>
      </c>
      <c r="M8" t="s">
        <v>15</v>
      </c>
      <c r="N8" t="s">
        <v>29</v>
      </c>
      <c r="O8">
        <v>83</v>
      </c>
      <c r="P8">
        <v>46</v>
      </c>
      <c r="Q8">
        <v>0</v>
      </c>
      <c r="R8">
        <v>0</v>
      </c>
      <c r="S8">
        <v>0</v>
      </c>
      <c r="T8">
        <f t="shared" si="1"/>
        <v>129</v>
      </c>
      <c r="U8" t="s">
        <v>55</v>
      </c>
      <c r="W8">
        <v>6</v>
      </c>
      <c r="X8">
        <v>884</v>
      </c>
    </row>
    <row r="9" spans="1:26">
      <c r="A9">
        <v>8</v>
      </c>
      <c r="B9" t="s">
        <v>17</v>
      </c>
      <c r="C9" t="s">
        <v>10</v>
      </c>
      <c r="D9">
        <v>18</v>
      </c>
      <c r="E9">
        <v>8</v>
      </c>
      <c r="F9">
        <v>0</v>
      </c>
      <c r="G9">
        <v>0</v>
      </c>
      <c r="H9">
        <v>0</v>
      </c>
      <c r="I9">
        <f t="shared" si="0"/>
        <v>26</v>
      </c>
      <c r="J9" t="s">
        <v>50</v>
      </c>
      <c r="L9">
        <v>7</v>
      </c>
      <c r="M9" t="s">
        <v>16</v>
      </c>
      <c r="N9" t="s">
        <v>29</v>
      </c>
      <c r="O9">
        <v>0</v>
      </c>
      <c r="P9">
        <v>0</v>
      </c>
      <c r="T9">
        <f t="shared" si="1"/>
        <v>0</v>
      </c>
      <c r="U9" t="s">
        <v>52</v>
      </c>
      <c r="W9">
        <v>7</v>
      </c>
      <c r="X9">
        <v>1485</v>
      </c>
    </row>
    <row r="10" spans="1:26">
      <c r="A10">
        <v>9</v>
      </c>
      <c r="B10" t="s">
        <v>18</v>
      </c>
      <c r="C10" t="s">
        <v>10</v>
      </c>
      <c r="D10">
        <v>54</v>
      </c>
      <c r="E10">
        <v>15</v>
      </c>
      <c r="H10">
        <v>9</v>
      </c>
      <c r="I10">
        <f t="shared" si="0"/>
        <v>78</v>
      </c>
      <c r="J10" t="s">
        <v>56</v>
      </c>
      <c r="L10">
        <v>8</v>
      </c>
      <c r="M10" t="s">
        <v>17</v>
      </c>
      <c r="N10" t="s">
        <v>29</v>
      </c>
      <c r="O10">
        <v>100</v>
      </c>
      <c r="P10">
        <v>114</v>
      </c>
      <c r="S10">
        <v>33</v>
      </c>
      <c r="T10">
        <f t="shared" si="1"/>
        <v>247</v>
      </c>
      <c r="U10" t="s">
        <v>50</v>
      </c>
      <c r="W10">
        <v>8</v>
      </c>
      <c r="X10">
        <v>1027</v>
      </c>
    </row>
    <row r="11" spans="1:26">
      <c r="A11">
        <v>10</v>
      </c>
      <c r="B11" t="s">
        <v>19</v>
      </c>
      <c r="C11" t="s">
        <v>10</v>
      </c>
      <c r="D11">
        <v>158</v>
      </c>
      <c r="E11">
        <v>90</v>
      </c>
      <c r="H11">
        <v>36</v>
      </c>
      <c r="I11">
        <f t="shared" si="0"/>
        <v>284</v>
      </c>
      <c r="J11" t="s">
        <v>53</v>
      </c>
      <c r="L11">
        <v>9</v>
      </c>
      <c r="M11" t="s">
        <v>18</v>
      </c>
      <c r="N11" t="s">
        <v>29</v>
      </c>
      <c r="O11">
        <v>81</v>
      </c>
      <c r="P11">
        <v>6</v>
      </c>
      <c r="S11">
        <v>8</v>
      </c>
      <c r="T11">
        <f t="shared" si="1"/>
        <v>95</v>
      </c>
      <c r="U11" t="s">
        <v>56</v>
      </c>
      <c r="W11">
        <v>9</v>
      </c>
      <c r="X11">
        <v>1759</v>
      </c>
    </row>
    <row r="12" spans="1:26">
      <c r="B12" t="s">
        <v>22</v>
      </c>
      <c r="D12">
        <f>SUM(D2:D11)</f>
        <v>620</v>
      </c>
      <c r="E12">
        <f>SUM(E2:E11)</f>
        <v>428</v>
      </c>
      <c r="I12">
        <f>I2+I3+I4+I5+I6+I7+I8+I9+I10+I11</f>
        <v>1109</v>
      </c>
      <c r="L12">
        <v>10</v>
      </c>
      <c r="M12" t="s">
        <v>19</v>
      </c>
      <c r="N12" t="s">
        <v>29</v>
      </c>
      <c r="O12">
        <v>62</v>
      </c>
      <c r="P12">
        <v>134</v>
      </c>
      <c r="S12">
        <v>19</v>
      </c>
      <c r="T12">
        <f t="shared" si="1"/>
        <v>215</v>
      </c>
      <c r="U12" t="s">
        <v>53</v>
      </c>
      <c r="W12">
        <v>10</v>
      </c>
      <c r="X12">
        <v>1599</v>
      </c>
    </row>
    <row r="13" spans="1:26">
      <c r="L13">
        <v>11</v>
      </c>
      <c r="M13" t="s">
        <v>25</v>
      </c>
      <c r="N13" t="s">
        <v>29</v>
      </c>
      <c r="O13">
        <v>12</v>
      </c>
      <c r="P13">
        <v>2</v>
      </c>
      <c r="Q13">
        <v>0</v>
      </c>
      <c r="R13">
        <v>0</v>
      </c>
      <c r="S13">
        <v>0</v>
      </c>
      <c r="T13">
        <f>O13+P13+S13</f>
        <v>14</v>
      </c>
      <c r="U13" t="s">
        <v>54</v>
      </c>
      <c r="W13">
        <v>11</v>
      </c>
      <c r="X13">
        <v>1638</v>
      </c>
    </row>
    <row r="14" spans="1:26">
      <c r="B14" s="1" t="s">
        <v>23</v>
      </c>
      <c r="L14">
        <v>12</v>
      </c>
      <c r="M14" t="s">
        <v>20</v>
      </c>
      <c r="N14" t="s">
        <v>29</v>
      </c>
      <c r="O14">
        <v>102</v>
      </c>
      <c r="P14">
        <v>110</v>
      </c>
      <c r="Q14">
        <v>7</v>
      </c>
      <c r="R14">
        <v>5</v>
      </c>
      <c r="S14">
        <v>12</v>
      </c>
      <c r="T14">
        <f>O14+P14+S14</f>
        <v>224</v>
      </c>
      <c r="U14" t="s">
        <v>57</v>
      </c>
      <c r="W14">
        <v>12</v>
      </c>
      <c r="X14">
        <v>1230</v>
      </c>
    </row>
    <row r="15" spans="1:26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51</v>
      </c>
      <c r="M15" s="1" t="s">
        <v>8</v>
      </c>
      <c r="O15">
        <f>SUM(O4:O14)</f>
        <v>573</v>
      </c>
      <c r="P15">
        <f>SUM(P4:P14)</f>
        <v>515</v>
      </c>
      <c r="T15">
        <f>T3+T4+T5+T6+T7+T8+T9+T10+T11+T12+T13+T14</f>
        <v>1163</v>
      </c>
      <c r="W15">
        <v>13</v>
      </c>
      <c r="X15">
        <v>915</v>
      </c>
    </row>
    <row r="16" spans="1:26">
      <c r="A16">
        <v>1</v>
      </c>
      <c r="B16" t="s">
        <v>9</v>
      </c>
      <c r="C16" t="s">
        <v>24</v>
      </c>
      <c r="D16">
        <v>32</v>
      </c>
      <c r="E16">
        <v>21</v>
      </c>
      <c r="F16">
        <v>6</v>
      </c>
      <c r="G16">
        <v>3</v>
      </c>
      <c r="H16">
        <v>9</v>
      </c>
      <c r="I16">
        <f t="shared" ref="I16:I30" si="2">D16+E16+H16</f>
        <v>62</v>
      </c>
      <c r="J16" t="s">
        <v>50</v>
      </c>
      <c r="W16">
        <v>14</v>
      </c>
      <c r="X16">
        <v>1569</v>
      </c>
    </row>
    <row r="17" spans="1:24">
      <c r="A17">
        <v>2</v>
      </c>
      <c r="B17" t="s">
        <v>11</v>
      </c>
      <c r="C17" t="s">
        <v>24</v>
      </c>
      <c r="D17">
        <v>13</v>
      </c>
      <c r="E17">
        <v>5</v>
      </c>
      <c r="F17">
        <v>2</v>
      </c>
      <c r="G17">
        <v>0</v>
      </c>
      <c r="H17">
        <v>2</v>
      </c>
      <c r="I17">
        <f t="shared" si="2"/>
        <v>20</v>
      </c>
      <c r="J17" t="s">
        <v>52</v>
      </c>
      <c r="M17" s="1" t="s">
        <v>28</v>
      </c>
      <c r="N17" s="1" t="s">
        <v>30</v>
      </c>
      <c r="O17" s="1"/>
      <c r="P17" s="1"/>
      <c r="W17">
        <v>15</v>
      </c>
      <c r="X17">
        <v>1560</v>
      </c>
    </row>
    <row r="18" spans="1:24">
      <c r="A18">
        <v>3</v>
      </c>
      <c r="B18" t="s">
        <v>12</v>
      </c>
      <c r="C18" t="s">
        <v>24</v>
      </c>
      <c r="D18">
        <v>43</v>
      </c>
      <c r="E18">
        <v>20</v>
      </c>
      <c r="F18">
        <v>0</v>
      </c>
      <c r="G18">
        <v>0</v>
      </c>
      <c r="H18">
        <v>0</v>
      </c>
      <c r="I18">
        <f t="shared" si="2"/>
        <v>63</v>
      </c>
      <c r="J18" t="s">
        <v>53</v>
      </c>
      <c r="L18" t="s">
        <v>0</v>
      </c>
      <c r="M18" t="s">
        <v>1</v>
      </c>
      <c r="N18" t="s">
        <v>2</v>
      </c>
      <c r="O18" t="s">
        <v>3</v>
      </c>
      <c r="P18" t="s">
        <v>4</v>
      </c>
      <c r="Q18" t="s">
        <v>5</v>
      </c>
      <c r="R18" t="s">
        <v>6</v>
      </c>
      <c r="S18" t="s">
        <v>7</v>
      </c>
      <c r="T18" t="s">
        <v>8</v>
      </c>
      <c r="U18" t="s">
        <v>51</v>
      </c>
      <c r="W18">
        <v>16</v>
      </c>
      <c r="X18">
        <v>1792</v>
      </c>
    </row>
    <row r="19" spans="1:24">
      <c r="A19">
        <v>4</v>
      </c>
      <c r="B19" t="s">
        <v>13</v>
      </c>
      <c r="C19" t="s">
        <v>24</v>
      </c>
      <c r="D19">
        <v>19</v>
      </c>
      <c r="E19">
        <v>11</v>
      </c>
      <c r="F19">
        <v>0</v>
      </c>
      <c r="G19">
        <v>0</v>
      </c>
      <c r="H19">
        <v>0</v>
      </c>
      <c r="I19">
        <f t="shared" si="2"/>
        <v>30</v>
      </c>
      <c r="J19" t="s">
        <v>52</v>
      </c>
      <c r="L19">
        <v>1</v>
      </c>
      <c r="M19" t="s">
        <v>9</v>
      </c>
      <c r="N19" t="s">
        <v>31</v>
      </c>
      <c r="O19">
        <v>29</v>
      </c>
      <c r="P19">
        <v>20</v>
      </c>
      <c r="Q19">
        <v>4</v>
      </c>
      <c r="R19">
        <v>10</v>
      </c>
      <c r="S19">
        <v>14</v>
      </c>
      <c r="T19">
        <f>O19+P19+S19</f>
        <v>63</v>
      </c>
      <c r="U19" t="s">
        <v>50</v>
      </c>
      <c r="W19">
        <v>17</v>
      </c>
      <c r="X19">
        <v>945</v>
      </c>
    </row>
    <row r="20" spans="1:24">
      <c r="A20">
        <v>5</v>
      </c>
      <c r="B20" t="s">
        <v>14</v>
      </c>
      <c r="C20" t="s">
        <v>24</v>
      </c>
      <c r="D20">
        <v>66</v>
      </c>
      <c r="E20">
        <v>94</v>
      </c>
      <c r="H20">
        <v>42</v>
      </c>
      <c r="I20">
        <f t="shared" si="2"/>
        <v>202</v>
      </c>
      <c r="J20" t="s">
        <v>54</v>
      </c>
      <c r="L20">
        <v>2</v>
      </c>
      <c r="M20" t="s">
        <v>11</v>
      </c>
      <c r="N20" t="s">
        <v>31</v>
      </c>
      <c r="O20">
        <v>11</v>
      </c>
      <c r="P20">
        <v>4</v>
      </c>
      <c r="Q20">
        <v>0</v>
      </c>
      <c r="R20">
        <v>1</v>
      </c>
      <c r="S20">
        <v>1</v>
      </c>
      <c r="T20">
        <f>O20+P20+S20</f>
        <v>16</v>
      </c>
      <c r="U20" t="s">
        <v>52</v>
      </c>
      <c r="W20">
        <v>18</v>
      </c>
      <c r="X20">
        <v>1995</v>
      </c>
    </row>
    <row r="21" spans="1:24">
      <c r="A21">
        <v>6</v>
      </c>
      <c r="B21" t="s">
        <v>15</v>
      </c>
      <c r="C21" t="s">
        <v>24</v>
      </c>
      <c r="D21">
        <v>52</v>
      </c>
      <c r="E21">
        <v>52</v>
      </c>
      <c r="F21">
        <v>0</v>
      </c>
      <c r="G21">
        <v>0</v>
      </c>
      <c r="H21">
        <v>0</v>
      </c>
      <c r="I21">
        <f t="shared" si="2"/>
        <v>104</v>
      </c>
      <c r="J21" t="s">
        <v>55</v>
      </c>
      <c r="L21">
        <v>3</v>
      </c>
      <c r="M21" t="s">
        <v>12</v>
      </c>
      <c r="N21" t="s">
        <v>31</v>
      </c>
      <c r="O21">
        <v>58</v>
      </c>
      <c r="P21">
        <v>28</v>
      </c>
      <c r="Q21">
        <v>0</v>
      </c>
      <c r="R21">
        <v>0</v>
      </c>
      <c r="S21">
        <v>0</v>
      </c>
      <c r="T21">
        <f>SUM(O21,P21,S21)</f>
        <v>86</v>
      </c>
      <c r="U21" t="s">
        <v>53</v>
      </c>
      <c r="W21">
        <v>19</v>
      </c>
      <c r="X21">
        <v>892</v>
      </c>
    </row>
    <row r="22" spans="1:24">
      <c r="A22">
        <v>7</v>
      </c>
      <c r="B22" t="s">
        <v>16</v>
      </c>
      <c r="C22" t="s">
        <v>24</v>
      </c>
      <c r="D22">
        <v>34</v>
      </c>
      <c r="E22">
        <v>22</v>
      </c>
      <c r="F22">
        <v>0</v>
      </c>
      <c r="G22">
        <v>0</v>
      </c>
      <c r="H22">
        <v>0</v>
      </c>
      <c r="I22">
        <f t="shared" si="2"/>
        <v>56</v>
      </c>
      <c r="J22" t="s">
        <v>52</v>
      </c>
      <c r="L22">
        <v>4</v>
      </c>
      <c r="M22" t="s">
        <v>13</v>
      </c>
      <c r="N22" t="s">
        <v>31</v>
      </c>
      <c r="O22">
        <v>33</v>
      </c>
      <c r="P22">
        <v>7</v>
      </c>
      <c r="Q22">
        <v>0</v>
      </c>
      <c r="R22">
        <v>0</v>
      </c>
      <c r="S22">
        <v>0</v>
      </c>
      <c r="T22">
        <f t="shared" ref="T22:T28" si="3">O22+P22+S22</f>
        <v>40</v>
      </c>
      <c r="U22" t="s">
        <v>52</v>
      </c>
      <c r="W22">
        <v>20</v>
      </c>
      <c r="X22">
        <v>499</v>
      </c>
    </row>
    <row r="23" spans="1:24">
      <c r="A23">
        <v>8</v>
      </c>
      <c r="B23" t="s">
        <v>17</v>
      </c>
      <c r="C23" t="s">
        <v>24</v>
      </c>
      <c r="D23">
        <v>23</v>
      </c>
      <c r="E23">
        <v>25</v>
      </c>
      <c r="F23">
        <v>1</v>
      </c>
      <c r="G23">
        <v>4</v>
      </c>
      <c r="H23">
        <v>5</v>
      </c>
      <c r="I23">
        <f t="shared" si="2"/>
        <v>53</v>
      </c>
      <c r="J23" t="s">
        <v>50</v>
      </c>
      <c r="L23">
        <v>5</v>
      </c>
      <c r="M23" t="s">
        <v>14</v>
      </c>
      <c r="N23" t="s">
        <v>31</v>
      </c>
      <c r="O23">
        <v>62</v>
      </c>
      <c r="P23">
        <v>100</v>
      </c>
      <c r="Q23">
        <v>0</v>
      </c>
      <c r="R23">
        <v>0</v>
      </c>
      <c r="S23">
        <v>0</v>
      </c>
      <c r="T23">
        <f t="shared" si="3"/>
        <v>162</v>
      </c>
      <c r="U23" t="s">
        <v>54</v>
      </c>
      <c r="W23">
        <v>21</v>
      </c>
      <c r="X23">
        <v>1583</v>
      </c>
    </row>
    <row r="24" spans="1:24">
      <c r="A24">
        <v>9</v>
      </c>
      <c r="B24" t="s">
        <v>18</v>
      </c>
      <c r="C24" t="s">
        <v>24</v>
      </c>
      <c r="D24">
        <v>61</v>
      </c>
      <c r="E24">
        <v>10</v>
      </c>
      <c r="H24">
        <v>1</v>
      </c>
      <c r="I24">
        <f t="shared" si="2"/>
        <v>72</v>
      </c>
      <c r="J24" t="s">
        <v>56</v>
      </c>
      <c r="L24">
        <v>6</v>
      </c>
      <c r="M24" t="s">
        <v>15</v>
      </c>
      <c r="N24" t="s">
        <v>31</v>
      </c>
      <c r="O24">
        <v>84</v>
      </c>
      <c r="P24">
        <v>56</v>
      </c>
      <c r="Q24">
        <v>0</v>
      </c>
      <c r="R24">
        <v>0</v>
      </c>
      <c r="S24">
        <v>0</v>
      </c>
      <c r="T24">
        <f t="shared" si="3"/>
        <v>140</v>
      </c>
      <c r="U24" t="s">
        <v>55</v>
      </c>
      <c r="W24">
        <v>22</v>
      </c>
      <c r="X24">
        <v>1419</v>
      </c>
    </row>
    <row r="25" spans="1:24">
      <c r="A25">
        <v>10</v>
      </c>
      <c r="B25" t="s">
        <v>19</v>
      </c>
      <c r="C25" t="s">
        <v>24</v>
      </c>
      <c r="D25">
        <v>106</v>
      </c>
      <c r="E25">
        <v>65</v>
      </c>
      <c r="H25">
        <v>29</v>
      </c>
      <c r="I25">
        <f t="shared" si="2"/>
        <v>200</v>
      </c>
      <c r="J25" t="s">
        <v>53</v>
      </c>
      <c r="L25">
        <v>7</v>
      </c>
      <c r="M25" t="s">
        <v>16</v>
      </c>
      <c r="N25" t="s">
        <v>31</v>
      </c>
      <c r="O25">
        <v>0</v>
      </c>
      <c r="P25">
        <v>0</v>
      </c>
      <c r="Q25">
        <v>0</v>
      </c>
      <c r="R25">
        <v>0</v>
      </c>
      <c r="S25">
        <v>0</v>
      </c>
      <c r="T25">
        <f t="shared" si="3"/>
        <v>0</v>
      </c>
      <c r="U25" t="s">
        <v>52</v>
      </c>
      <c r="W25">
        <v>23</v>
      </c>
      <c r="X25">
        <v>1710</v>
      </c>
    </row>
    <row r="26" spans="1:24">
      <c r="A26">
        <v>11</v>
      </c>
      <c r="B26" t="s">
        <v>25</v>
      </c>
      <c r="C26" t="s">
        <v>24</v>
      </c>
      <c r="D26">
        <v>15</v>
      </c>
      <c r="E26">
        <v>2</v>
      </c>
      <c r="F26">
        <v>1</v>
      </c>
      <c r="G26">
        <v>7</v>
      </c>
      <c r="H26">
        <v>8</v>
      </c>
      <c r="I26">
        <f t="shared" si="2"/>
        <v>25</v>
      </c>
      <c r="J26" t="s">
        <v>54</v>
      </c>
      <c r="L26">
        <v>8</v>
      </c>
      <c r="M26" t="s">
        <v>17</v>
      </c>
      <c r="N26" t="s">
        <v>31</v>
      </c>
      <c r="O26">
        <v>20</v>
      </c>
      <c r="P26">
        <v>25</v>
      </c>
      <c r="S26">
        <v>9</v>
      </c>
      <c r="T26">
        <f t="shared" si="3"/>
        <v>54</v>
      </c>
      <c r="U26" t="s">
        <v>50</v>
      </c>
      <c r="W26">
        <v>24</v>
      </c>
      <c r="X26">
        <v>1039</v>
      </c>
    </row>
    <row r="27" spans="1:24">
      <c r="A27">
        <v>12</v>
      </c>
      <c r="B27" t="s">
        <v>26</v>
      </c>
      <c r="C27" t="s">
        <v>24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2"/>
        <v>0</v>
      </c>
      <c r="J27" t="s">
        <v>54</v>
      </c>
      <c r="L27">
        <v>9</v>
      </c>
      <c r="M27" t="s">
        <v>18</v>
      </c>
      <c r="N27" t="s">
        <v>31</v>
      </c>
      <c r="O27">
        <v>34</v>
      </c>
      <c r="P27">
        <v>6</v>
      </c>
      <c r="S27">
        <v>4</v>
      </c>
      <c r="T27">
        <f t="shared" si="3"/>
        <v>44</v>
      </c>
      <c r="U27" t="s">
        <v>56</v>
      </c>
      <c r="W27">
        <v>25</v>
      </c>
      <c r="X27">
        <v>1529</v>
      </c>
    </row>
    <row r="28" spans="1:24">
      <c r="A28">
        <v>13</v>
      </c>
      <c r="B28" t="s">
        <v>27</v>
      </c>
      <c r="C28" t="s">
        <v>24</v>
      </c>
      <c r="D28">
        <v>223</v>
      </c>
      <c r="E28">
        <v>234</v>
      </c>
      <c r="F28">
        <v>23</v>
      </c>
      <c r="G28">
        <v>20</v>
      </c>
      <c r="H28">
        <v>43</v>
      </c>
      <c r="I28">
        <f t="shared" si="2"/>
        <v>500</v>
      </c>
      <c r="J28" t="s">
        <v>58</v>
      </c>
      <c r="L28">
        <v>10</v>
      </c>
      <c r="M28" t="s">
        <v>19</v>
      </c>
      <c r="N28" t="s">
        <v>31</v>
      </c>
      <c r="O28">
        <v>60</v>
      </c>
      <c r="P28">
        <v>87</v>
      </c>
      <c r="S28">
        <v>23</v>
      </c>
      <c r="T28">
        <f t="shared" si="3"/>
        <v>170</v>
      </c>
      <c r="U28" t="s">
        <v>53</v>
      </c>
      <c r="W28">
        <v>26</v>
      </c>
      <c r="X28">
        <v>1254</v>
      </c>
    </row>
    <row r="29" spans="1:24">
      <c r="A29">
        <v>14</v>
      </c>
      <c r="B29" t="s">
        <v>20</v>
      </c>
      <c r="C29" t="s">
        <v>24</v>
      </c>
      <c r="D29">
        <v>102</v>
      </c>
      <c r="E29">
        <v>98</v>
      </c>
      <c r="F29">
        <v>7</v>
      </c>
      <c r="G29">
        <v>5</v>
      </c>
      <c r="H29">
        <v>12</v>
      </c>
      <c r="I29">
        <f t="shared" si="2"/>
        <v>212</v>
      </c>
      <c r="J29" t="s">
        <v>57</v>
      </c>
      <c r="L29">
        <v>11</v>
      </c>
      <c r="M29" t="s">
        <v>25</v>
      </c>
      <c r="N29" t="s">
        <v>31</v>
      </c>
      <c r="O29">
        <v>9</v>
      </c>
      <c r="P29">
        <v>2</v>
      </c>
      <c r="Q29">
        <v>0</v>
      </c>
      <c r="R29">
        <v>4</v>
      </c>
      <c r="S29">
        <v>4</v>
      </c>
      <c r="T29">
        <f>O29+P29+S29</f>
        <v>15</v>
      </c>
      <c r="U29" t="s">
        <v>54</v>
      </c>
      <c r="W29">
        <v>27</v>
      </c>
      <c r="X29">
        <v>1280</v>
      </c>
    </row>
    <row r="30" spans="1:24">
      <c r="A30">
        <v>15</v>
      </c>
      <c r="B30" t="s">
        <v>21</v>
      </c>
      <c r="C30" t="s">
        <v>24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2"/>
        <v>0</v>
      </c>
      <c r="J30" t="s">
        <v>59</v>
      </c>
      <c r="L30">
        <v>12</v>
      </c>
      <c r="M30" t="s">
        <v>20</v>
      </c>
      <c r="N30" t="s">
        <v>31</v>
      </c>
      <c r="O30">
        <v>0</v>
      </c>
      <c r="P30">
        <v>0</v>
      </c>
      <c r="Q30">
        <v>0</v>
      </c>
      <c r="R30">
        <v>0</v>
      </c>
      <c r="S30">
        <v>0</v>
      </c>
      <c r="T30">
        <f>O30+P30+S30</f>
        <v>0</v>
      </c>
      <c r="U30" t="s">
        <v>57</v>
      </c>
      <c r="W30">
        <v>28</v>
      </c>
      <c r="X30">
        <v>2187</v>
      </c>
    </row>
    <row r="31" spans="1:24">
      <c r="B31" t="s">
        <v>8</v>
      </c>
      <c r="D31">
        <f>SUM(D16:D30)</f>
        <v>789</v>
      </c>
      <c r="E31">
        <f>SUM(E16:E30)</f>
        <v>659</v>
      </c>
      <c r="I31">
        <f>I16+I17+I18+I19+I20+I21+I22+I23+I24+I25+I26+I27+I28+I29+I30</f>
        <v>1599</v>
      </c>
      <c r="L31">
        <v>13</v>
      </c>
      <c r="M31" t="s">
        <v>27</v>
      </c>
      <c r="N31" t="s">
        <v>31</v>
      </c>
      <c r="O31">
        <v>228</v>
      </c>
      <c r="P31">
        <v>222</v>
      </c>
      <c r="Q31">
        <v>33</v>
      </c>
      <c r="R31">
        <v>29</v>
      </c>
      <c r="S31">
        <v>62</v>
      </c>
      <c r="T31">
        <f>O31+P31+S31</f>
        <v>512</v>
      </c>
      <c r="U31" t="s">
        <v>56</v>
      </c>
      <c r="W31">
        <v>29</v>
      </c>
      <c r="X31">
        <v>2180</v>
      </c>
    </row>
    <row r="32" spans="1:24">
      <c r="L32">
        <v>14</v>
      </c>
      <c r="M32" t="s">
        <v>32</v>
      </c>
      <c r="N32" t="s">
        <v>31</v>
      </c>
      <c r="O32">
        <v>96</v>
      </c>
      <c r="P32">
        <v>82</v>
      </c>
      <c r="Q32">
        <v>5</v>
      </c>
      <c r="R32">
        <v>8</v>
      </c>
      <c r="S32">
        <v>13</v>
      </c>
      <c r="T32">
        <f>O32+P32+S32</f>
        <v>191</v>
      </c>
      <c r="U32" t="s">
        <v>50</v>
      </c>
      <c r="W32">
        <v>30</v>
      </c>
      <c r="X32">
        <v>0</v>
      </c>
    </row>
    <row r="33" spans="1:24">
      <c r="M33" s="1" t="s">
        <v>8</v>
      </c>
      <c r="O33">
        <f>SUM(O19:O32)</f>
        <v>724</v>
      </c>
      <c r="P33">
        <f>SUM(P19:P32)</f>
        <v>639</v>
      </c>
      <c r="T33">
        <f>T19+T20+T21+T22+T23+T24+T25+T26+T27+T28+T29+T30+T31+T32</f>
        <v>1493</v>
      </c>
      <c r="W33" t="s">
        <v>208</v>
      </c>
      <c r="X33">
        <f>AVERAGE(X3:X32)</f>
        <v>1348.3666666666666</v>
      </c>
    </row>
    <row r="34" spans="1:24">
      <c r="C34" s="1" t="s">
        <v>33</v>
      </c>
    </row>
    <row r="35" spans="1:24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  <c r="I35" t="s">
        <v>8</v>
      </c>
      <c r="J35" t="s">
        <v>51</v>
      </c>
      <c r="M35" s="1" t="s">
        <v>35</v>
      </c>
    </row>
    <row r="36" spans="1:24">
      <c r="A36">
        <v>1</v>
      </c>
      <c r="B36" t="s">
        <v>9</v>
      </c>
      <c r="C36" t="s">
        <v>34</v>
      </c>
      <c r="D36">
        <v>34</v>
      </c>
      <c r="E36">
        <v>30</v>
      </c>
      <c r="F36">
        <v>3</v>
      </c>
      <c r="G36">
        <v>2</v>
      </c>
      <c r="H36">
        <v>5</v>
      </c>
      <c r="I36">
        <f>D36+E36+H36</f>
        <v>69</v>
      </c>
      <c r="J36" t="s">
        <v>50</v>
      </c>
      <c r="L36" t="s">
        <v>0</v>
      </c>
      <c r="M36" t="s">
        <v>1</v>
      </c>
      <c r="N36" t="s">
        <v>2</v>
      </c>
      <c r="O36" t="s">
        <v>3</v>
      </c>
      <c r="P36" t="s">
        <v>4</v>
      </c>
      <c r="Q36" t="s">
        <v>5</v>
      </c>
      <c r="R36" t="s">
        <v>6</v>
      </c>
      <c r="S36" t="s">
        <v>7</v>
      </c>
      <c r="T36" t="s">
        <v>8</v>
      </c>
      <c r="U36" t="s">
        <v>51</v>
      </c>
    </row>
    <row r="37" spans="1:24">
      <c r="A37">
        <v>2</v>
      </c>
      <c r="B37" t="s">
        <v>11</v>
      </c>
      <c r="C37" t="s">
        <v>34</v>
      </c>
      <c r="D37">
        <v>12</v>
      </c>
      <c r="E37">
        <v>7</v>
      </c>
      <c r="F37">
        <v>2</v>
      </c>
      <c r="G37">
        <v>1</v>
      </c>
      <c r="H37">
        <v>3</v>
      </c>
      <c r="I37">
        <f>D37+E37+H37</f>
        <v>22</v>
      </c>
      <c r="J37" t="s">
        <v>52</v>
      </c>
      <c r="L37">
        <v>1</v>
      </c>
      <c r="M37" t="s">
        <v>9</v>
      </c>
      <c r="N37" t="s">
        <v>36</v>
      </c>
      <c r="O37">
        <v>24</v>
      </c>
      <c r="P37">
        <v>17</v>
      </c>
      <c r="Q37">
        <v>5</v>
      </c>
      <c r="R37">
        <v>6</v>
      </c>
      <c r="S37">
        <v>11</v>
      </c>
      <c r="T37">
        <f>O37+P37+S37</f>
        <v>52</v>
      </c>
      <c r="U37" t="s">
        <v>50</v>
      </c>
    </row>
    <row r="38" spans="1:24">
      <c r="A38">
        <v>3</v>
      </c>
      <c r="B38" t="s">
        <v>12</v>
      </c>
      <c r="C38" t="s">
        <v>34</v>
      </c>
      <c r="D38">
        <v>43</v>
      </c>
      <c r="E38">
        <v>38</v>
      </c>
      <c r="F38">
        <v>0</v>
      </c>
      <c r="G38">
        <v>0</v>
      </c>
      <c r="H38">
        <v>0</v>
      </c>
      <c r="I38">
        <f>SUM(D38,E38,H38)</f>
        <v>81</v>
      </c>
      <c r="J38" t="s">
        <v>53</v>
      </c>
      <c r="L38">
        <v>2</v>
      </c>
      <c r="M38" t="s">
        <v>11</v>
      </c>
      <c r="N38" t="s">
        <v>36</v>
      </c>
      <c r="O38">
        <v>13</v>
      </c>
      <c r="P38">
        <v>11</v>
      </c>
      <c r="Q38">
        <v>3</v>
      </c>
      <c r="R38">
        <v>4</v>
      </c>
      <c r="S38">
        <v>7</v>
      </c>
      <c r="T38">
        <f>O38+P38+S38</f>
        <v>31</v>
      </c>
      <c r="U38" t="s">
        <v>52</v>
      </c>
    </row>
    <row r="39" spans="1:24">
      <c r="A39">
        <v>4</v>
      </c>
      <c r="B39" t="s">
        <v>13</v>
      </c>
      <c r="C39" t="s">
        <v>34</v>
      </c>
      <c r="D39">
        <v>22</v>
      </c>
      <c r="E39">
        <v>11</v>
      </c>
      <c r="F39">
        <v>0</v>
      </c>
      <c r="G39">
        <v>0</v>
      </c>
      <c r="H39">
        <v>0</v>
      </c>
      <c r="I39">
        <f t="shared" ref="I39:I45" si="4">D39+E39+H39</f>
        <v>33</v>
      </c>
      <c r="J39" t="s">
        <v>52</v>
      </c>
      <c r="L39">
        <v>3</v>
      </c>
      <c r="M39" t="s">
        <v>12</v>
      </c>
      <c r="N39" t="s">
        <v>36</v>
      </c>
      <c r="O39">
        <v>50</v>
      </c>
      <c r="P39">
        <v>34</v>
      </c>
      <c r="Q39">
        <v>0</v>
      </c>
      <c r="R39">
        <v>0</v>
      </c>
      <c r="S39">
        <v>0</v>
      </c>
      <c r="T39">
        <f>SUM(O39,P39,S39)</f>
        <v>84</v>
      </c>
      <c r="U39" t="s">
        <v>53</v>
      </c>
    </row>
    <row r="40" spans="1:24">
      <c r="A40">
        <v>5</v>
      </c>
      <c r="B40" t="s">
        <v>14</v>
      </c>
      <c r="C40" t="s">
        <v>34</v>
      </c>
      <c r="D40">
        <v>0</v>
      </c>
      <c r="E40">
        <v>0</v>
      </c>
      <c r="I40">
        <f t="shared" si="4"/>
        <v>0</v>
      </c>
      <c r="J40" t="s">
        <v>54</v>
      </c>
      <c r="L40">
        <v>4</v>
      </c>
      <c r="M40" t="s">
        <v>13</v>
      </c>
      <c r="N40" t="s">
        <v>36</v>
      </c>
      <c r="O40">
        <v>13</v>
      </c>
      <c r="P40">
        <v>16</v>
      </c>
      <c r="Q40">
        <v>0</v>
      </c>
      <c r="R40">
        <v>0</v>
      </c>
      <c r="S40">
        <v>0</v>
      </c>
      <c r="T40">
        <f t="shared" ref="T40:T46" si="5">O40+P40+S40</f>
        <v>29</v>
      </c>
      <c r="U40" t="s">
        <v>52</v>
      </c>
    </row>
    <row r="41" spans="1:24">
      <c r="A41">
        <v>6</v>
      </c>
      <c r="B41" t="s">
        <v>15</v>
      </c>
      <c r="C41" t="s">
        <v>34</v>
      </c>
      <c r="D41">
        <v>0</v>
      </c>
      <c r="E41">
        <v>0</v>
      </c>
      <c r="I41">
        <f t="shared" si="4"/>
        <v>0</v>
      </c>
      <c r="J41" t="s">
        <v>55</v>
      </c>
      <c r="L41">
        <v>5</v>
      </c>
      <c r="M41" t="s">
        <v>14</v>
      </c>
      <c r="N41" t="s">
        <v>36</v>
      </c>
      <c r="O41">
        <v>0</v>
      </c>
      <c r="P41">
        <v>0</v>
      </c>
      <c r="T41">
        <f t="shared" si="5"/>
        <v>0</v>
      </c>
      <c r="U41" t="s">
        <v>54</v>
      </c>
    </row>
    <row r="42" spans="1:24">
      <c r="A42">
        <v>7</v>
      </c>
      <c r="B42" t="s">
        <v>16</v>
      </c>
      <c r="C42" t="s">
        <v>34</v>
      </c>
      <c r="D42">
        <v>47</v>
      </c>
      <c r="E42">
        <v>43</v>
      </c>
      <c r="F42">
        <v>0</v>
      </c>
      <c r="G42">
        <v>0</v>
      </c>
      <c r="H42">
        <v>0</v>
      </c>
      <c r="I42">
        <f t="shared" si="4"/>
        <v>90</v>
      </c>
      <c r="J42" t="s">
        <v>52</v>
      </c>
      <c r="L42">
        <v>6</v>
      </c>
      <c r="M42" t="s">
        <v>15</v>
      </c>
      <c r="N42" t="s">
        <v>36</v>
      </c>
      <c r="O42">
        <v>78</v>
      </c>
      <c r="P42">
        <v>55</v>
      </c>
      <c r="Q42">
        <v>0</v>
      </c>
      <c r="R42">
        <v>0</v>
      </c>
      <c r="S42">
        <v>0</v>
      </c>
      <c r="T42">
        <f t="shared" si="5"/>
        <v>133</v>
      </c>
      <c r="U42" t="s">
        <v>55</v>
      </c>
    </row>
    <row r="43" spans="1:24">
      <c r="A43">
        <v>8</v>
      </c>
      <c r="B43" t="s">
        <v>17</v>
      </c>
      <c r="C43" t="s">
        <v>34</v>
      </c>
      <c r="D43">
        <v>139</v>
      </c>
      <c r="E43">
        <v>135</v>
      </c>
      <c r="H43">
        <v>26</v>
      </c>
      <c r="I43">
        <f t="shared" si="4"/>
        <v>300</v>
      </c>
      <c r="J43" t="s">
        <v>50</v>
      </c>
      <c r="L43">
        <v>7</v>
      </c>
      <c r="M43" t="s">
        <v>16</v>
      </c>
      <c r="N43" t="s">
        <v>36</v>
      </c>
      <c r="O43">
        <v>52</v>
      </c>
      <c r="P43">
        <v>46</v>
      </c>
      <c r="S43">
        <v>0</v>
      </c>
      <c r="T43">
        <f t="shared" si="5"/>
        <v>98</v>
      </c>
      <c r="U43" t="s">
        <v>52</v>
      </c>
    </row>
    <row r="44" spans="1:24">
      <c r="A44">
        <v>9</v>
      </c>
      <c r="B44" t="s">
        <v>18</v>
      </c>
      <c r="C44" t="s">
        <v>34</v>
      </c>
      <c r="D44">
        <v>49</v>
      </c>
      <c r="E44">
        <v>14</v>
      </c>
      <c r="H44">
        <v>6</v>
      </c>
      <c r="I44">
        <f t="shared" si="4"/>
        <v>69</v>
      </c>
      <c r="J44" t="s">
        <v>56</v>
      </c>
      <c r="L44">
        <v>8</v>
      </c>
      <c r="M44" t="s">
        <v>17</v>
      </c>
      <c r="N44" t="s">
        <v>36</v>
      </c>
      <c r="O44">
        <v>85</v>
      </c>
      <c r="P44">
        <v>66</v>
      </c>
      <c r="S44">
        <v>97</v>
      </c>
      <c r="T44">
        <f t="shared" si="5"/>
        <v>248</v>
      </c>
      <c r="U44" t="s">
        <v>50</v>
      </c>
    </row>
    <row r="45" spans="1:24">
      <c r="A45">
        <v>10</v>
      </c>
      <c r="B45" t="s">
        <v>19</v>
      </c>
      <c r="C45" t="s">
        <v>34</v>
      </c>
      <c r="D45">
        <v>53</v>
      </c>
      <c r="E45">
        <v>90</v>
      </c>
      <c r="H45">
        <v>23</v>
      </c>
      <c r="I45">
        <f t="shared" si="4"/>
        <v>166</v>
      </c>
      <c r="J45" t="s">
        <v>53</v>
      </c>
      <c r="L45">
        <v>9</v>
      </c>
      <c r="M45" t="s">
        <v>18</v>
      </c>
      <c r="N45" t="s">
        <v>36</v>
      </c>
      <c r="O45">
        <v>29</v>
      </c>
      <c r="P45">
        <v>7</v>
      </c>
      <c r="S45">
        <v>9</v>
      </c>
      <c r="T45">
        <f t="shared" si="5"/>
        <v>45</v>
      </c>
      <c r="U45" t="s">
        <v>56</v>
      </c>
    </row>
    <row r="46" spans="1:24">
      <c r="A46">
        <v>11</v>
      </c>
      <c r="B46" t="s">
        <v>25</v>
      </c>
      <c r="C46" t="s">
        <v>34</v>
      </c>
      <c r="D46">
        <v>6</v>
      </c>
      <c r="E46">
        <v>1</v>
      </c>
      <c r="F46">
        <v>0</v>
      </c>
      <c r="G46">
        <v>4</v>
      </c>
      <c r="H46">
        <v>4</v>
      </c>
      <c r="I46">
        <f>D46+E46+H46</f>
        <v>11</v>
      </c>
      <c r="J46" t="s">
        <v>54</v>
      </c>
      <c r="L46">
        <v>10</v>
      </c>
      <c r="M46" t="s">
        <v>19</v>
      </c>
      <c r="N46" t="s">
        <v>36</v>
      </c>
      <c r="O46">
        <v>53</v>
      </c>
      <c r="P46">
        <v>88</v>
      </c>
      <c r="S46">
        <v>12</v>
      </c>
      <c r="T46">
        <f t="shared" si="5"/>
        <v>153</v>
      </c>
      <c r="U46" t="s">
        <v>53</v>
      </c>
    </row>
    <row r="47" spans="1:24">
      <c r="A47">
        <v>12</v>
      </c>
      <c r="B47" t="s">
        <v>20</v>
      </c>
      <c r="C47" t="s">
        <v>34</v>
      </c>
      <c r="D47">
        <v>133</v>
      </c>
      <c r="E47">
        <v>109</v>
      </c>
      <c r="F47">
        <v>4</v>
      </c>
      <c r="G47">
        <v>6</v>
      </c>
      <c r="H47">
        <v>10</v>
      </c>
      <c r="I47">
        <f>D47+E47+H47</f>
        <v>252</v>
      </c>
      <c r="J47" t="s">
        <v>57</v>
      </c>
      <c r="L47">
        <v>11</v>
      </c>
      <c r="M47" t="s">
        <v>25</v>
      </c>
      <c r="N47" t="s">
        <v>36</v>
      </c>
      <c r="O47">
        <v>7</v>
      </c>
      <c r="P47">
        <v>3</v>
      </c>
      <c r="Q47">
        <v>0</v>
      </c>
      <c r="R47">
        <v>0</v>
      </c>
      <c r="S47">
        <v>0</v>
      </c>
      <c r="T47">
        <f>O47+P47+S47</f>
        <v>10</v>
      </c>
      <c r="U47" t="s">
        <v>54</v>
      </c>
    </row>
    <row r="48" spans="1:24">
      <c r="A48">
        <v>13</v>
      </c>
      <c r="B48" t="s">
        <v>27</v>
      </c>
      <c r="C48" t="s">
        <v>34</v>
      </c>
      <c r="D48">
        <v>199</v>
      </c>
      <c r="E48">
        <v>202</v>
      </c>
      <c r="F48">
        <v>32</v>
      </c>
      <c r="G48">
        <v>20</v>
      </c>
      <c r="H48">
        <v>52</v>
      </c>
      <c r="I48">
        <f>D48+E48+H48</f>
        <v>453</v>
      </c>
      <c r="J48" t="s">
        <v>56</v>
      </c>
      <c r="L48">
        <v>12</v>
      </c>
      <c r="M48" t="s">
        <v>20</v>
      </c>
      <c r="N48" t="s">
        <v>36</v>
      </c>
      <c r="O48">
        <v>101</v>
      </c>
      <c r="P48">
        <v>130</v>
      </c>
      <c r="Q48">
        <v>8</v>
      </c>
      <c r="R48">
        <v>10</v>
      </c>
      <c r="S48">
        <v>18</v>
      </c>
      <c r="T48">
        <f>O48+P48+S48</f>
        <v>249</v>
      </c>
      <c r="U48" t="s">
        <v>57</v>
      </c>
    </row>
    <row r="49" spans="1:21">
      <c r="B49" t="s">
        <v>8</v>
      </c>
      <c r="D49">
        <f>SUM(D36:D48)</f>
        <v>737</v>
      </c>
      <c r="E49">
        <f>SUM(E36:E48)</f>
        <v>680</v>
      </c>
      <c r="I49">
        <f>I36+I37+I38+I39+I40+I41+I42+I43+I44+I45+I46+I47+I48</f>
        <v>1546</v>
      </c>
      <c r="L49">
        <v>13</v>
      </c>
      <c r="M49" t="s">
        <v>27</v>
      </c>
      <c r="N49" t="s">
        <v>36</v>
      </c>
      <c r="O49">
        <v>0</v>
      </c>
      <c r="P49">
        <v>0</v>
      </c>
      <c r="T49">
        <f>O49+P49+S49</f>
        <v>0</v>
      </c>
      <c r="U49" t="s">
        <v>56</v>
      </c>
    </row>
    <row r="50" spans="1:21">
      <c r="L50">
        <v>14</v>
      </c>
      <c r="M50" t="s">
        <v>37</v>
      </c>
      <c r="N50" t="s">
        <v>36</v>
      </c>
      <c r="O50">
        <v>25</v>
      </c>
      <c r="P50">
        <v>13</v>
      </c>
      <c r="Q50">
        <v>0</v>
      </c>
      <c r="R50">
        <v>0</v>
      </c>
      <c r="S50">
        <v>0</v>
      </c>
      <c r="T50">
        <f>O50+P50+S50</f>
        <v>38</v>
      </c>
      <c r="U50" t="s">
        <v>55</v>
      </c>
    </row>
    <row r="51" spans="1:21">
      <c r="M51" t="s">
        <v>8</v>
      </c>
      <c r="O51">
        <f>SUM(O37:O50)</f>
        <v>530</v>
      </c>
      <c r="P51">
        <f>SUM(P37:P50)</f>
        <v>486</v>
      </c>
      <c r="T51">
        <f>T37+T38+T39+T40+T41+T42+T43+T44+T45+T46+T47+T48+T49+T50</f>
        <v>1170</v>
      </c>
    </row>
    <row r="52" spans="1:21">
      <c r="B52" t="s">
        <v>38</v>
      </c>
    </row>
    <row r="53" spans="1:21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t="s">
        <v>51</v>
      </c>
    </row>
    <row r="54" spans="1:21">
      <c r="A54">
        <v>1</v>
      </c>
      <c r="B54" t="s">
        <v>9</v>
      </c>
      <c r="C54" t="s">
        <v>39</v>
      </c>
      <c r="D54">
        <v>24</v>
      </c>
      <c r="E54">
        <v>16</v>
      </c>
      <c r="F54">
        <v>3</v>
      </c>
      <c r="G54">
        <v>5</v>
      </c>
      <c r="H54">
        <v>8</v>
      </c>
      <c r="I54">
        <f>D54+E54+H54</f>
        <v>48</v>
      </c>
      <c r="J54" t="s">
        <v>50</v>
      </c>
      <c r="M54" t="s">
        <v>38</v>
      </c>
      <c r="N54" t="s">
        <v>40</v>
      </c>
    </row>
    <row r="55" spans="1:21">
      <c r="A55">
        <v>2</v>
      </c>
      <c r="B55" t="s">
        <v>11</v>
      </c>
      <c r="C55" t="s">
        <v>39</v>
      </c>
      <c r="D55">
        <v>13</v>
      </c>
      <c r="E55">
        <v>7</v>
      </c>
      <c r="F55">
        <v>1</v>
      </c>
      <c r="G55">
        <v>9</v>
      </c>
      <c r="H55">
        <v>10</v>
      </c>
      <c r="I55">
        <f>D55+E55+H55</f>
        <v>30</v>
      </c>
      <c r="J55" t="s">
        <v>52</v>
      </c>
      <c r="L55" t="s">
        <v>0</v>
      </c>
      <c r="M55" t="s">
        <v>1</v>
      </c>
      <c r="N55" t="s">
        <v>2</v>
      </c>
      <c r="O55" t="s">
        <v>3</v>
      </c>
      <c r="P55" t="s">
        <v>4</v>
      </c>
      <c r="Q55" t="s">
        <v>5</v>
      </c>
      <c r="R55" t="s">
        <v>6</v>
      </c>
      <c r="S55" t="s">
        <v>7</v>
      </c>
      <c r="T55" t="s">
        <v>8</v>
      </c>
      <c r="U55" t="s">
        <v>51</v>
      </c>
    </row>
    <row r="56" spans="1:21">
      <c r="A56">
        <v>3</v>
      </c>
      <c r="B56" t="s">
        <v>12</v>
      </c>
      <c r="C56" t="s">
        <v>39</v>
      </c>
      <c r="D56">
        <v>35</v>
      </c>
      <c r="E56">
        <v>28</v>
      </c>
      <c r="H56">
        <v>0</v>
      </c>
      <c r="I56">
        <f>SUM(D56,E56,H56)</f>
        <v>63</v>
      </c>
      <c r="J56" t="s">
        <v>53</v>
      </c>
      <c r="L56">
        <v>1</v>
      </c>
      <c r="M56" t="s">
        <v>9</v>
      </c>
      <c r="N56" t="s">
        <v>41</v>
      </c>
      <c r="O56">
        <v>29</v>
      </c>
      <c r="P56">
        <v>31</v>
      </c>
      <c r="Q56">
        <v>3</v>
      </c>
      <c r="R56">
        <v>2</v>
      </c>
      <c r="S56">
        <v>5</v>
      </c>
      <c r="T56">
        <f>O56+P56+S56</f>
        <v>65</v>
      </c>
      <c r="U56" t="s">
        <v>50</v>
      </c>
    </row>
    <row r="57" spans="1:21">
      <c r="A57">
        <v>4</v>
      </c>
      <c r="B57" t="s">
        <v>13</v>
      </c>
      <c r="C57" t="s">
        <v>39</v>
      </c>
      <c r="D57">
        <v>18</v>
      </c>
      <c r="E57">
        <v>7</v>
      </c>
      <c r="F57">
        <v>0</v>
      </c>
      <c r="G57">
        <v>0</v>
      </c>
      <c r="H57">
        <v>0</v>
      </c>
      <c r="I57">
        <f t="shared" ref="I57:I63" si="6">D57+E57+H57</f>
        <v>25</v>
      </c>
      <c r="J57" t="s">
        <v>52</v>
      </c>
      <c r="L57">
        <v>2</v>
      </c>
      <c r="M57" t="s">
        <v>11</v>
      </c>
      <c r="N57" t="s">
        <v>41</v>
      </c>
      <c r="O57">
        <v>16</v>
      </c>
      <c r="P57">
        <v>5</v>
      </c>
      <c r="Q57">
        <v>3</v>
      </c>
      <c r="R57">
        <v>2</v>
      </c>
      <c r="S57">
        <v>5</v>
      </c>
      <c r="T57">
        <f>O57+P57+S57</f>
        <v>26</v>
      </c>
      <c r="U57" t="s">
        <v>52</v>
      </c>
    </row>
    <row r="58" spans="1:21">
      <c r="A58">
        <v>5</v>
      </c>
      <c r="B58" t="s">
        <v>14</v>
      </c>
      <c r="C58" t="s">
        <v>39</v>
      </c>
      <c r="D58">
        <v>0</v>
      </c>
      <c r="E58">
        <v>0</v>
      </c>
      <c r="I58">
        <f t="shared" si="6"/>
        <v>0</v>
      </c>
      <c r="J58" t="s">
        <v>54</v>
      </c>
      <c r="L58">
        <v>3</v>
      </c>
      <c r="M58" t="s">
        <v>12</v>
      </c>
      <c r="N58" t="s">
        <v>41</v>
      </c>
      <c r="O58">
        <v>31</v>
      </c>
      <c r="P58">
        <v>22</v>
      </c>
      <c r="Q58">
        <v>0</v>
      </c>
      <c r="R58">
        <v>0</v>
      </c>
      <c r="S58">
        <v>0</v>
      </c>
      <c r="T58">
        <f>SUM(O58,P58,S58)</f>
        <v>53</v>
      </c>
      <c r="U58" t="s">
        <v>53</v>
      </c>
    </row>
    <row r="59" spans="1:21">
      <c r="A59">
        <v>6</v>
      </c>
      <c r="B59" t="s">
        <v>15</v>
      </c>
      <c r="C59" t="s">
        <v>39</v>
      </c>
      <c r="D59">
        <v>67</v>
      </c>
      <c r="E59">
        <v>53</v>
      </c>
      <c r="H59">
        <v>0</v>
      </c>
      <c r="I59">
        <f t="shared" si="6"/>
        <v>120</v>
      </c>
      <c r="J59" t="s">
        <v>55</v>
      </c>
      <c r="L59">
        <v>4</v>
      </c>
      <c r="M59" t="s">
        <v>13</v>
      </c>
      <c r="N59" t="s">
        <v>41</v>
      </c>
      <c r="O59">
        <v>40</v>
      </c>
      <c r="P59">
        <v>11</v>
      </c>
      <c r="Q59">
        <v>2</v>
      </c>
      <c r="R59">
        <v>0</v>
      </c>
      <c r="S59">
        <v>2</v>
      </c>
      <c r="T59">
        <f t="shared" ref="T59:T65" si="7">O59+P59+S59</f>
        <v>53</v>
      </c>
      <c r="U59" t="s">
        <v>52</v>
      </c>
    </row>
    <row r="60" spans="1:21">
      <c r="A60">
        <v>7</v>
      </c>
      <c r="B60" t="s">
        <v>16</v>
      </c>
      <c r="C60" t="s">
        <v>39</v>
      </c>
      <c r="D60">
        <v>52</v>
      </c>
      <c r="E60">
        <v>46</v>
      </c>
      <c r="H60">
        <v>0</v>
      </c>
      <c r="I60">
        <f t="shared" si="6"/>
        <v>98</v>
      </c>
      <c r="J60" t="s">
        <v>52</v>
      </c>
      <c r="L60">
        <v>5</v>
      </c>
      <c r="M60" t="s">
        <v>14</v>
      </c>
      <c r="N60" t="s">
        <v>41</v>
      </c>
      <c r="O60">
        <v>0</v>
      </c>
      <c r="P60">
        <v>0</v>
      </c>
      <c r="T60">
        <f t="shared" si="7"/>
        <v>0</v>
      </c>
      <c r="U60" t="s">
        <v>54</v>
      </c>
    </row>
    <row r="61" spans="1:21">
      <c r="A61">
        <v>8</v>
      </c>
      <c r="B61" t="s">
        <v>17</v>
      </c>
      <c r="C61" t="s">
        <v>39</v>
      </c>
      <c r="D61">
        <v>33</v>
      </c>
      <c r="E61">
        <v>15</v>
      </c>
      <c r="H61">
        <v>1</v>
      </c>
      <c r="I61">
        <f t="shared" si="6"/>
        <v>49</v>
      </c>
      <c r="J61" t="s">
        <v>50</v>
      </c>
      <c r="L61">
        <v>6</v>
      </c>
      <c r="M61" t="s">
        <v>15</v>
      </c>
      <c r="N61" t="s">
        <v>41</v>
      </c>
      <c r="O61">
        <v>134</v>
      </c>
      <c r="P61">
        <v>79</v>
      </c>
      <c r="Q61">
        <v>0</v>
      </c>
      <c r="R61">
        <v>0</v>
      </c>
      <c r="S61">
        <v>0</v>
      </c>
      <c r="T61">
        <f t="shared" si="7"/>
        <v>213</v>
      </c>
      <c r="U61" t="s">
        <v>55</v>
      </c>
    </row>
    <row r="62" spans="1:21">
      <c r="A62">
        <v>9</v>
      </c>
      <c r="B62" t="s">
        <v>18</v>
      </c>
      <c r="C62" t="s">
        <v>39</v>
      </c>
      <c r="D62">
        <v>33</v>
      </c>
      <c r="E62">
        <v>17</v>
      </c>
      <c r="H62">
        <v>9</v>
      </c>
      <c r="I62">
        <f t="shared" si="6"/>
        <v>59</v>
      </c>
      <c r="J62" t="s">
        <v>56</v>
      </c>
      <c r="L62">
        <v>7</v>
      </c>
      <c r="M62" t="s">
        <v>16</v>
      </c>
      <c r="N62" t="s">
        <v>41</v>
      </c>
      <c r="O62">
        <v>39</v>
      </c>
      <c r="P62">
        <v>32</v>
      </c>
      <c r="S62">
        <v>0</v>
      </c>
      <c r="T62">
        <f t="shared" si="7"/>
        <v>71</v>
      </c>
      <c r="U62" t="s">
        <v>52</v>
      </c>
    </row>
    <row r="63" spans="1:21">
      <c r="A63">
        <v>10</v>
      </c>
      <c r="B63" t="s">
        <v>19</v>
      </c>
      <c r="C63" t="s">
        <v>39</v>
      </c>
      <c r="D63">
        <v>48</v>
      </c>
      <c r="E63">
        <v>62</v>
      </c>
      <c r="H63">
        <v>9</v>
      </c>
      <c r="I63">
        <f t="shared" si="6"/>
        <v>119</v>
      </c>
      <c r="J63" t="s">
        <v>53</v>
      </c>
      <c r="L63">
        <v>8</v>
      </c>
      <c r="M63" t="s">
        <v>17</v>
      </c>
      <c r="N63" t="s">
        <v>41</v>
      </c>
      <c r="O63">
        <v>0</v>
      </c>
      <c r="P63">
        <v>0</v>
      </c>
      <c r="T63">
        <f t="shared" si="7"/>
        <v>0</v>
      </c>
      <c r="U63" t="s">
        <v>50</v>
      </c>
    </row>
    <row r="64" spans="1:21">
      <c r="A64">
        <v>11</v>
      </c>
      <c r="B64" t="s">
        <v>25</v>
      </c>
      <c r="C64" t="s">
        <v>39</v>
      </c>
      <c r="D64">
        <v>10</v>
      </c>
      <c r="E64">
        <v>2</v>
      </c>
      <c r="F64">
        <v>1</v>
      </c>
      <c r="G64">
        <v>4</v>
      </c>
      <c r="H64">
        <v>5</v>
      </c>
      <c r="I64">
        <f>D64+E64+H64</f>
        <v>17</v>
      </c>
      <c r="J64" t="s">
        <v>54</v>
      </c>
      <c r="L64">
        <v>9</v>
      </c>
      <c r="M64" t="s">
        <v>18</v>
      </c>
      <c r="N64" t="s">
        <v>41</v>
      </c>
      <c r="O64">
        <v>39</v>
      </c>
      <c r="P64">
        <v>9</v>
      </c>
      <c r="S64">
        <v>3</v>
      </c>
      <c r="T64">
        <f t="shared" si="7"/>
        <v>51</v>
      </c>
      <c r="U64" t="s">
        <v>56</v>
      </c>
    </row>
    <row r="65" spans="1:21">
      <c r="A65">
        <v>12</v>
      </c>
      <c r="B65" t="s">
        <v>27</v>
      </c>
      <c r="C65" t="s">
        <v>39</v>
      </c>
      <c r="D65">
        <v>98</v>
      </c>
      <c r="E65">
        <v>134</v>
      </c>
      <c r="F65">
        <v>10</v>
      </c>
      <c r="G65">
        <v>14</v>
      </c>
      <c r="H65">
        <v>24</v>
      </c>
      <c r="I65">
        <f>D65+E65+H65</f>
        <v>256</v>
      </c>
      <c r="J65" t="s">
        <v>56</v>
      </c>
      <c r="L65">
        <v>10</v>
      </c>
      <c r="M65" t="s">
        <v>19</v>
      </c>
      <c r="N65" t="s">
        <v>41</v>
      </c>
      <c r="O65">
        <v>109</v>
      </c>
      <c r="P65">
        <v>68</v>
      </c>
      <c r="S65">
        <v>26</v>
      </c>
      <c r="T65">
        <f t="shared" si="7"/>
        <v>203</v>
      </c>
      <c r="U65" t="s">
        <v>53</v>
      </c>
    </row>
    <row r="66" spans="1:21">
      <c r="B66" t="s">
        <v>8</v>
      </c>
      <c r="D66">
        <f>SUM(D54:D65)</f>
        <v>431</v>
      </c>
      <c r="E66">
        <f>SUM(E54:E65)</f>
        <v>387</v>
      </c>
      <c r="I66">
        <f>I54+I55+I56+I57+I58+I59+I60+I61+I62+I63+I64+I65</f>
        <v>884</v>
      </c>
      <c r="L66">
        <v>11</v>
      </c>
      <c r="M66" t="s">
        <v>25</v>
      </c>
      <c r="N66" t="s">
        <v>41</v>
      </c>
      <c r="O66">
        <v>9</v>
      </c>
      <c r="P66">
        <v>3</v>
      </c>
      <c r="Q66">
        <v>2</v>
      </c>
      <c r="R66">
        <v>2</v>
      </c>
      <c r="S66">
        <v>4</v>
      </c>
      <c r="T66">
        <f>O66+P66+S66</f>
        <v>16</v>
      </c>
      <c r="U66" t="s">
        <v>54</v>
      </c>
    </row>
    <row r="67" spans="1:21">
      <c r="L67">
        <v>12</v>
      </c>
      <c r="M67" t="s">
        <v>27</v>
      </c>
      <c r="N67" t="s">
        <v>41</v>
      </c>
      <c r="O67">
        <v>213</v>
      </c>
      <c r="P67">
        <v>197</v>
      </c>
      <c r="Q67">
        <v>28</v>
      </c>
      <c r="R67">
        <v>26</v>
      </c>
      <c r="S67">
        <v>54</v>
      </c>
      <c r="T67">
        <f>O67+P67+S67</f>
        <v>464</v>
      </c>
      <c r="U67" t="s">
        <v>56</v>
      </c>
    </row>
    <row r="68" spans="1:21">
      <c r="L68">
        <v>13</v>
      </c>
      <c r="M68" t="s">
        <v>20</v>
      </c>
      <c r="N68" t="s">
        <v>41</v>
      </c>
      <c r="O68">
        <v>147</v>
      </c>
      <c r="P68">
        <v>102</v>
      </c>
      <c r="Q68">
        <v>11</v>
      </c>
      <c r="R68">
        <v>10</v>
      </c>
      <c r="S68">
        <v>21</v>
      </c>
      <c r="T68">
        <f>O68+P68+S68</f>
        <v>270</v>
      </c>
      <c r="U68" t="s">
        <v>57</v>
      </c>
    </row>
    <row r="69" spans="1:21">
      <c r="M69" t="s">
        <v>8</v>
      </c>
      <c r="O69">
        <f>SUM(O56:O68)</f>
        <v>806</v>
      </c>
      <c r="P69">
        <f>SUM(P56:P68)</f>
        <v>559</v>
      </c>
      <c r="T69">
        <f>T56+T57+T58+T59+T60+T61+T62+T63+T64+T65+T66+T67+T68</f>
        <v>1485</v>
      </c>
    </row>
    <row r="72" spans="1:21">
      <c r="B72" t="s">
        <v>38</v>
      </c>
      <c r="C72" t="s">
        <v>42</v>
      </c>
      <c r="M72" t="s">
        <v>38</v>
      </c>
      <c r="N72" t="s">
        <v>44</v>
      </c>
    </row>
    <row r="73" spans="1:21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7</v>
      </c>
      <c r="I73" t="s">
        <v>8</v>
      </c>
      <c r="J73" t="s">
        <v>51</v>
      </c>
      <c r="L73" t="s">
        <v>0</v>
      </c>
      <c r="M73" t="s">
        <v>1</v>
      </c>
      <c r="N73" t="s">
        <v>2</v>
      </c>
      <c r="O73" t="s">
        <v>3</v>
      </c>
      <c r="P73" t="s">
        <v>4</v>
      </c>
      <c r="Q73" t="s">
        <v>5</v>
      </c>
      <c r="R73" t="s">
        <v>6</v>
      </c>
      <c r="S73" t="s">
        <v>7</v>
      </c>
      <c r="T73" t="s">
        <v>8</v>
      </c>
      <c r="U73" t="s">
        <v>51</v>
      </c>
    </row>
    <row r="74" spans="1:21">
      <c r="A74">
        <v>1</v>
      </c>
      <c r="B74" t="s">
        <v>9</v>
      </c>
      <c r="C74" t="s">
        <v>43</v>
      </c>
      <c r="D74">
        <v>29</v>
      </c>
      <c r="E74">
        <v>22</v>
      </c>
      <c r="F74">
        <v>6</v>
      </c>
      <c r="G74">
        <v>2</v>
      </c>
      <c r="H74">
        <v>8</v>
      </c>
      <c r="I74">
        <f>D74+E74+H74</f>
        <v>59</v>
      </c>
      <c r="J74" t="s">
        <v>50</v>
      </c>
      <c r="L74">
        <v>1</v>
      </c>
      <c r="M74" t="s">
        <v>9</v>
      </c>
      <c r="N74" t="s">
        <v>45</v>
      </c>
      <c r="O74">
        <v>24</v>
      </c>
      <c r="P74">
        <v>18</v>
      </c>
      <c r="Q74">
        <v>4</v>
      </c>
      <c r="R74">
        <v>7</v>
      </c>
      <c r="S74">
        <v>11</v>
      </c>
      <c r="T74">
        <f>O74+P74+S74</f>
        <v>53</v>
      </c>
      <c r="U74" t="s">
        <v>50</v>
      </c>
    </row>
    <row r="75" spans="1:21">
      <c r="A75">
        <v>2</v>
      </c>
      <c r="B75" t="s">
        <v>11</v>
      </c>
      <c r="C75" t="s">
        <v>43</v>
      </c>
      <c r="D75">
        <v>16</v>
      </c>
      <c r="E75">
        <v>8</v>
      </c>
      <c r="F75">
        <v>6</v>
      </c>
      <c r="G75">
        <v>2</v>
      </c>
      <c r="H75">
        <v>8</v>
      </c>
      <c r="I75">
        <f>D75+E75+H75</f>
        <v>32</v>
      </c>
      <c r="J75" t="s">
        <v>52</v>
      </c>
      <c r="L75">
        <v>2</v>
      </c>
      <c r="M75" t="s">
        <v>11</v>
      </c>
      <c r="N75" t="s">
        <v>45</v>
      </c>
      <c r="O75">
        <v>16</v>
      </c>
      <c r="P75">
        <v>10</v>
      </c>
      <c r="Q75">
        <v>2</v>
      </c>
      <c r="R75">
        <v>0</v>
      </c>
      <c r="S75">
        <v>0</v>
      </c>
      <c r="T75">
        <f>O75+P75+S75</f>
        <v>26</v>
      </c>
      <c r="U75" t="s">
        <v>52</v>
      </c>
    </row>
    <row r="76" spans="1:21">
      <c r="A76">
        <v>3</v>
      </c>
      <c r="B76" t="s">
        <v>12</v>
      </c>
      <c r="C76" t="s">
        <v>43</v>
      </c>
      <c r="D76">
        <v>38</v>
      </c>
      <c r="E76">
        <v>36</v>
      </c>
      <c r="H76">
        <v>0</v>
      </c>
      <c r="I76">
        <f>SUM(D76,E76,H76)</f>
        <v>74</v>
      </c>
      <c r="J76" t="s">
        <v>53</v>
      </c>
      <c r="L76">
        <v>3</v>
      </c>
      <c r="M76" t="s">
        <v>12</v>
      </c>
      <c r="N76" t="s">
        <v>45</v>
      </c>
      <c r="O76">
        <v>61</v>
      </c>
      <c r="P76">
        <v>29</v>
      </c>
      <c r="Q76">
        <v>0</v>
      </c>
      <c r="R76">
        <v>0</v>
      </c>
      <c r="S76">
        <v>0</v>
      </c>
      <c r="T76">
        <f>SUM(O76,P76,S76)</f>
        <v>90</v>
      </c>
      <c r="U76" t="s">
        <v>53</v>
      </c>
    </row>
    <row r="77" spans="1:21">
      <c r="A77">
        <v>4</v>
      </c>
      <c r="B77" t="s">
        <v>13</v>
      </c>
      <c r="C77" t="s">
        <v>43</v>
      </c>
      <c r="D77">
        <v>27</v>
      </c>
      <c r="E77">
        <v>14</v>
      </c>
      <c r="F77">
        <v>1</v>
      </c>
      <c r="G77">
        <v>0</v>
      </c>
      <c r="H77">
        <v>1</v>
      </c>
      <c r="I77">
        <f t="shared" ref="I77:I83" si="8">D77+E77+H77</f>
        <v>42</v>
      </c>
      <c r="J77" t="s">
        <v>52</v>
      </c>
      <c r="L77">
        <v>4</v>
      </c>
      <c r="M77" t="s">
        <v>13</v>
      </c>
      <c r="N77" t="s">
        <v>45</v>
      </c>
      <c r="O77">
        <v>44</v>
      </c>
      <c r="P77">
        <v>9</v>
      </c>
      <c r="Q77">
        <v>0</v>
      </c>
      <c r="R77">
        <v>0</v>
      </c>
      <c r="S77">
        <v>0</v>
      </c>
      <c r="T77">
        <f t="shared" ref="T77:T83" si="9">O77+P77+S77</f>
        <v>53</v>
      </c>
      <c r="U77" t="s">
        <v>52</v>
      </c>
    </row>
    <row r="78" spans="1:21">
      <c r="A78">
        <v>5</v>
      </c>
      <c r="B78" t="s">
        <v>14</v>
      </c>
      <c r="C78" t="s">
        <v>43</v>
      </c>
      <c r="D78">
        <v>72</v>
      </c>
      <c r="E78">
        <v>147</v>
      </c>
      <c r="H78">
        <v>0</v>
      </c>
      <c r="I78">
        <f t="shared" si="8"/>
        <v>219</v>
      </c>
      <c r="J78" t="s">
        <v>54</v>
      </c>
      <c r="L78">
        <v>5</v>
      </c>
      <c r="M78" t="s">
        <v>14</v>
      </c>
      <c r="N78" t="s">
        <v>45</v>
      </c>
      <c r="O78">
        <v>61</v>
      </c>
      <c r="P78">
        <v>80</v>
      </c>
      <c r="S78">
        <v>15</v>
      </c>
      <c r="T78">
        <f t="shared" si="9"/>
        <v>156</v>
      </c>
      <c r="U78" t="s">
        <v>54</v>
      </c>
    </row>
    <row r="79" spans="1:21">
      <c r="A79">
        <v>6</v>
      </c>
      <c r="B79" t="s">
        <v>15</v>
      </c>
      <c r="C79" t="s">
        <v>43</v>
      </c>
      <c r="D79">
        <v>90</v>
      </c>
      <c r="E79">
        <v>66</v>
      </c>
      <c r="H79">
        <v>0</v>
      </c>
      <c r="I79">
        <f t="shared" si="8"/>
        <v>156</v>
      </c>
      <c r="J79" t="s">
        <v>55</v>
      </c>
      <c r="L79">
        <v>6</v>
      </c>
      <c r="M79" t="s">
        <v>15</v>
      </c>
      <c r="N79" t="s">
        <v>45</v>
      </c>
      <c r="O79">
        <v>103</v>
      </c>
      <c r="P79">
        <v>69</v>
      </c>
      <c r="Q79">
        <v>0</v>
      </c>
      <c r="R79">
        <v>0</v>
      </c>
      <c r="S79">
        <v>0</v>
      </c>
      <c r="T79">
        <f t="shared" si="9"/>
        <v>172</v>
      </c>
      <c r="U79" t="s">
        <v>55</v>
      </c>
    </row>
    <row r="80" spans="1:21">
      <c r="A80">
        <v>7</v>
      </c>
      <c r="B80" t="s">
        <v>16</v>
      </c>
      <c r="C80" t="s">
        <v>43</v>
      </c>
      <c r="D80">
        <v>0</v>
      </c>
      <c r="E80">
        <v>0</v>
      </c>
      <c r="I80">
        <f t="shared" si="8"/>
        <v>0</v>
      </c>
      <c r="J80" t="s">
        <v>52</v>
      </c>
      <c r="L80">
        <v>7</v>
      </c>
      <c r="M80" t="s">
        <v>16</v>
      </c>
      <c r="N80" t="s">
        <v>45</v>
      </c>
      <c r="O80">
        <v>53</v>
      </c>
      <c r="P80">
        <v>27</v>
      </c>
      <c r="Q80">
        <v>0</v>
      </c>
      <c r="R80">
        <v>0</v>
      </c>
      <c r="S80">
        <v>0</v>
      </c>
      <c r="T80">
        <f t="shared" si="9"/>
        <v>80</v>
      </c>
      <c r="U80" t="s">
        <v>52</v>
      </c>
    </row>
    <row r="81" spans="1:21">
      <c r="A81">
        <v>8</v>
      </c>
      <c r="B81" t="s">
        <v>17</v>
      </c>
      <c r="C81" t="s">
        <v>43</v>
      </c>
      <c r="D81">
        <v>12</v>
      </c>
      <c r="E81">
        <v>8</v>
      </c>
      <c r="H81">
        <v>5</v>
      </c>
      <c r="I81">
        <f t="shared" si="8"/>
        <v>25</v>
      </c>
      <c r="J81" t="s">
        <v>50</v>
      </c>
      <c r="L81">
        <v>8</v>
      </c>
      <c r="M81" t="s">
        <v>17</v>
      </c>
      <c r="N81" t="s">
        <v>45</v>
      </c>
      <c r="O81">
        <v>139</v>
      </c>
      <c r="P81">
        <v>165</v>
      </c>
      <c r="S81">
        <v>23</v>
      </c>
      <c r="T81">
        <f t="shared" si="9"/>
        <v>327</v>
      </c>
      <c r="U81" t="s">
        <v>50</v>
      </c>
    </row>
    <row r="82" spans="1:21">
      <c r="A82">
        <v>9</v>
      </c>
      <c r="B82" t="s">
        <v>18</v>
      </c>
      <c r="C82" t="s">
        <v>43</v>
      </c>
      <c r="D82">
        <v>49</v>
      </c>
      <c r="E82">
        <v>17</v>
      </c>
      <c r="H82">
        <v>8</v>
      </c>
      <c r="I82">
        <f t="shared" si="8"/>
        <v>74</v>
      </c>
      <c r="J82" t="s">
        <v>56</v>
      </c>
      <c r="L82">
        <v>9</v>
      </c>
      <c r="M82" t="s">
        <v>18</v>
      </c>
      <c r="N82" t="s">
        <v>45</v>
      </c>
      <c r="O82">
        <v>16</v>
      </c>
      <c r="P82">
        <v>14</v>
      </c>
      <c r="S82">
        <v>5</v>
      </c>
      <c r="T82">
        <f t="shared" si="9"/>
        <v>35</v>
      </c>
      <c r="U82" t="s">
        <v>56</v>
      </c>
    </row>
    <row r="83" spans="1:21">
      <c r="A83">
        <v>10</v>
      </c>
      <c r="B83" t="s">
        <v>19</v>
      </c>
      <c r="C83" t="s">
        <v>43</v>
      </c>
      <c r="D83">
        <v>93</v>
      </c>
      <c r="E83">
        <v>136</v>
      </c>
      <c r="H83">
        <v>28</v>
      </c>
      <c r="I83">
        <f t="shared" si="8"/>
        <v>257</v>
      </c>
      <c r="J83" t="s">
        <v>53</v>
      </c>
      <c r="L83">
        <v>10</v>
      </c>
      <c r="M83" t="s">
        <v>19</v>
      </c>
      <c r="N83" t="s">
        <v>45</v>
      </c>
      <c r="O83">
        <v>97</v>
      </c>
      <c r="P83">
        <v>142</v>
      </c>
      <c r="S83">
        <v>31</v>
      </c>
      <c r="T83">
        <f t="shared" si="9"/>
        <v>270</v>
      </c>
      <c r="U83" t="s">
        <v>53</v>
      </c>
    </row>
    <row r="84" spans="1:21">
      <c r="A84">
        <v>11</v>
      </c>
      <c r="B84" t="s">
        <v>25</v>
      </c>
      <c r="C84" t="s">
        <v>43</v>
      </c>
      <c r="D84">
        <v>10</v>
      </c>
      <c r="E84">
        <v>5</v>
      </c>
      <c r="F84">
        <v>11</v>
      </c>
      <c r="G84">
        <v>7</v>
      </c>
      <c r="H84">
        <v>18</v>
      </c>
      <c r="I84">
        <f>D84+E84+H84</f>
        <v>33</v>
      </c>
      <c r="J84" t="s">
        <v>54</v>
      </c>
      <c r="L84">
        <v>11</v>
      </c>
      <c r="M84" t="s">
        <v>25</v>
      </c>
      <c r="N84" t="s">
        <v>45</v>
      </c>
      <c r="O84">
        <v>8</v>
      </c>
      <c r="P84">
        <v>3</v>
      </c>
      <c r="Q84">
        <v>0</v>
      </c>
      <c r="R84">
        <v>0</v>
      </c>
      <c r="S84">
        <v>0</v>
      </c>
      <c r="T84">
        <f>O84+P84+S84</f>
        <v>11</v>
      </c>
      <c r="U84" t="s">
        <v>54</v>
      </c>
    </row>
    <row r="85" spans="1:21">
      <c r="A85">
        <v>12</v>
      </c>
      <c r="B85" t="s">
        <v>27</v>
      </c>
      <c r="C85" t="s">
        <v>43</v>
      </c>
      <c r="D85">
        <v>0</v>
      </c>
      <c r="E85">
        <v>0</v>
      </c>
      <c r="I85">
        <f>D85+E85+H85</f>
        <v>0</v>
      </c>
      <c r="J85" t="s">
        <v>56</v>
      </c>
      <c r="L85">
        <v>12</v>
      </c>
      <c r="M85" t="s">
        <v>27</v>
      </c>
      <c r="N85" t="s">
        <v>45</v>
      </c>
      <c r="O85">
        <v>216</v>
      </c>
      <c r="P85">
        <v>230</v>
      </c>
      <c r="Q85">
        <v>21</v>
      </c>
      <c r="R85">
        <v>19</v>
      </c>
      <c r="S85">
        <v>40</v>
      </c>
      <c r="T85">
        <f>O85+P85+S85</f>
        <v>486</v>
      </c>
      <c r="U85" t="s">
        <v>56</v>
      </c>
    </row>
    <row r="86" spans="1:21">
      <c r="A86">
        <v>13</v>
      </c>
      <c r="B86" t="s">
        <v>20</v>
      </c>
      <c r="C86" t="s">
        <v>43</v>
      </c>
      <c r="D86">
        <v>0</v>
      </c>
      <c r="E86">
        <v>0</v>
      </c>
      <c r="I86">
        <f>D86+E86+H86</f>
        <v>0</v>
      </c>
      <c r="J86" t="s">
        <v>57</v>
      </c>
      <c r="L86">
        <v>13</v>
      </c>
      <c r="M86" t="s">
        <v>20</v>
      </c>
      <c r="N86" t="s">
        <v>45</v>
      </c>
      <c r="O86">
        <v>0</v>
      </c>
      <c r="P86">
        <v>0</v>
      </c>
      <c r="T86">
        <f>O86+P86+S86</f>
        <v>0</v>
      </c>
      <c r="U86" t="s">
        <v>57</v>
      </c>
    </row>
    <row r="87" spans="1:21">
      <c r="A87">
        <v>14</v>
      </c>
      <c r="B87" t="s">
        <v>32</v>
      </c>
      <c r="C87" t="s">
        <v>43</v>
      </c>
      <c r="D87">
        <v>27</v>
      </c>
      <c r="E87">
        <v>24</v>
      </c>
      <c r="F87">
        <v>4</v>
      </c>
      <c r="G87">
        <v>1</v>
      </c>
      <c r="H87">
        <v>5</v>
      </c>
      <c r="I87">
        <f>D87+E87+H87</f>
        <v>56</v>
      </c>
      <c r="J87" t="s">
        <v>50</v>
      </c>
      <c r="L87">
        <v>14</v>
      </c>
      <c r="M87" t="s">
        <v>32</v>
      </c>
      <c r="N87" t="s">
        <v>45</v>
      </c>
      <c r="O87">
        <v>0</v>
      </c>
      <c r="P87">
        <v>0</v>
      </c>
      <c r="T87">
        <f>O87+P87+S87</f>
        <v>0</v>
      </c>
      <c r="U87" t="s">
        <v>50</v>
      </c>
    </row>
    <row r="88" spans="1:21">
      <c r="B88" t="s">
        <v>8</v>
      </c>
      <c r="D88">
        <f>SUM(D74:D87)</f>
        <v>463</v>
      </c>
      <c r="E88">
        <f>SUM(E74:E87)</f>
        <v>483</v>
      </c>
      <c r="I88">
        <f>I74+I75+I76+I77+I78+I79+I80+I81+I82+I83+I84+I85+I86+I87</f>
        <v>1027</v>
      </c>
      <c r="M88" t="s">
        <v>8</v>
      </c>
      <c r="O88">
        <f>SUM(O74:O87)</f>
        <v>838</v>
      </c>
      <c r="P88">
        <f>SUM(P74:P87)</f>
        <v>796</v>
      </c>
      <c r="T88">
        <f>T74+T75+T76+T77+T78+T79+T80+T81+T82+T83+T84+T85+T86+T87</f>
        <v>1759</v>
      </c>
    </row>
    <row r="91" spans="1:21">
      <c r="B91" t="s">
        <v>38</v>
      </c>
      <c r="C91" t="s">
        <v>46</v>
      </c>
      <c r="M91" t="s">
        <v>38</v>
      </c>
      <c r="N91" t="s">
        <v>61</v>
      </c>
    </row>
    <row r="92" spans="1:21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51</v>
      </c>
      <c r="L92" t="s">
        <v>0</v>
      </c>
      <c r="M92" t="s">
        <v>1</v>
      </c>
      <c r="N92" t="s">
        <v>2</v>
      </c>
      <c r="O92" t="s">
        <v>3</v>
      </c>
      <c r="P92" t="s">
        <v>4</v>
      </c>
      <c r="Q92" t="s">
        <v>5</v>
      </c>
      <c r="R92" t="s">
        <v>6</v>
      </c>
      <c r="S92" t="s">
        <v>7</v>
      </c>
      <c r="T92" t="s">
        <v>8</v>
      </c>
      <c r="U92" t="s">
        <v>51</v>
      </c>
    </row>
    <row r="93" spans="1:21">
      <c r="A93">
        <v>1</v>
      </c>
      <c r="B93" t="s">
        <v>9</v>
      </c>
      <c r="C93" t="s">
        <v>47</v>
      </c>
      <c r="D93">
        <v>32</v>
      </c>
      <c r="E93">
        <v>30</v>
      </c>
      <c r="F93">
        <v>0</v>
      </c>
      <c r="G93">
        <v>4</v>
      </c>
      <c r="H93">
        <v>4</v>
      </c>
      <c r="I93">
        <f>D93+E93+H93</f>
        <v>66</v>
      </c>
      <c r="J93" t="s">
        <v>50</v>
      </c>
      <c r="L93">
        <v>1</v>
      </c>
      <c r="M93" t="s">
        <v>9</v>
      </c>
      <c r="N93" t="s">
        <v>60</v>
      </c>
      <c r="O93">
        <v>18</v>
      </c>
      <c r="P93">
        <v>20</v>
      </c>
      <c r="Q93">
        <v>1</v>
      </c>
      <c r="R93">
        <v>3</v>
      </c>
      <c r="S93">
        <v>4</v>
      </c>
      <c r="T93">
        <f>O93+P93+S93</f>
        <v>42</v>
      </c>
      <c r="U93" t="s">
        <v>50</v>
      </c>
    </row>
    <row r="94" spans="1:21">
      <c r="A94">
        <v>2</v>
      </c>
      <c r="B94" t="s">
        <v>11</v>
      </c>
      <c r="C94" t="s">
        <v>47</v>
      </c>
      <c r="D94">
        <v>17</v>
      </c>
      <c r="E94">
        <v>10</v>
      </c>
      <c r="F94">
        <v>5</v>
      </c>
      <c r="G94">
        <v>4</v>
      </c>
      <c r="H94">
        <v>9</v>
      </c>
      <c r="I94">
        <f>D94+E94+H94</f>
        <v>36</v>
      </c>
      <c r="J94" t="s">
        <v>52</v>
      </c>
      <c r="L94">
        <v>2</v>
      </c>
      <c r="M94" t="s">
        <v>11</v>
      </c>
      <c r="N94" t="s">
        <v>60</v>
      </c>
      <c r="O94">
        <v>0</v>
      </c>
      <c r="P94">
        <v>0</v>
      </c>
      <c r="T94">
        <f>O94+P94+S94</f>
        <v>0</v>
      </c>
      <c r="U94" t="s">
        <v>52</v>
      </c>
    </row>
    <row r="95" spans="1:21">
      <c r="A95">
        <v>3</v>
      </c>
      <c r="B95" t="s">
        <v>12</v>
      </c>
      <c r="C95" t="s">
        <v>47</v>
      </c>
      <c r="D95">
        <v>22</v>
      </c>
      <c r="E95">
        <v>25</v>
      </c>
      <c r="F95">
        <v>0</v>
      </c>
      <c r="G95">
        <v>0</v>
      </c>
      <c r="H95">
        <v>0</v>
      </c>
      <c r="I95">
        <f>SUM(D95,E95,H95)</f>
        <v>47</v>
      </c>
      <c r="J95" t="s">
        <v>53</v>
      </c>
      <c r="L95">
        <v>3</v>
      </c>
      <c r="M95" t="s">
        <v>12</v>
      </c>
      <c r="N95" t="s">
        <v>60</v>
      </c>
      <c r="O95">
        <v>50</v>
      </c>
      <c r="P95">
        <v>37</v>
      </c>
      <c r="S95">
        <v>0</v>
      </c>
      <c r="T95">
        <f>SUM(O95,P95,S95)</f>
        <v>87</v>
      </c>
      <c r="U95" t="s">
        <v>53</v>
      </c>
    </row>
    <row r="96" spans="1:21">
      <c r="A96">
        <v>4</v>
      </c>
      <c r="B96" t="s">
        <v>13</v>
      </c>
      <c r="C96" t="s">
        <v>47</v>
      </c>
      <c r="D96">
        <v>22</v>
      </c>
      <c r="E96">
        <v>10</v>
      </c>
      <c r="H96">
        <v>3</v>
      </c>
      <c r="I96">
        <f t="shared" ref="I96:I102" si="10">D96+E96+H96</f>
        <v>35</v>
      </c>
      <c r="J96" t="s">
        <v>52</v>
      </c>
      <c r="L96">
        <v>4</v>
      </c>
      <c r="M96" t="s">
        <v>13</v>
      </c>
      <c r="N96" t="s">
        <v>60</v>
      </c>
      <c r="O96">
        <v>24</v>
      </c>
      <c r="P96">
        <v>14</v>
      </c>
      <c r="S96">
        <v>3</v>
      </c>
      <c r="T96">
        <f t="shared" ref="T96:T111" si="11">O96+P96+S96</f>
        <v>41</v>
      </c>
      <c r="U96" t="s">
        <v>52</v>
      </c>
    </row>
    <row r="97" spans="1:21">
      <c r="A97">
        <v>5</v>
      </c>
      <c r="B97" t="s">
        <v>14</v>
      </c>
      <c r="C97" t="s">
        <v>47</v>
      </c>
      <c r="D97">
        <v>65</v>
      </c>
      <c r="E97">
        <v>83</v>
      </c>
      <c r="H97">
        <v>18</v>
      </c>
      <c r="I97">
        <f t="shared" si="10"/>
        <v>166</v>
      </c>
      <c r="J97" t="s">
        <v>54</v>
      </c>
      <c r="L97">
        <v>5</v>
      </c>
      <c r="M97" t="s">
        <v>14</v>
      </c>
      <c r="N97" t="s">
        <v>60</v>
      </c>
      <c r="O97">
        <v>58</v>
      </c>
      <c r="P97">
        <v>64</v>
      </c>
      <c r="S97">
        <v>8</v>
      </c>
      <c r="T97">
        <f t="shared" si="11"/>
        <v>130</v>
      </c>
      <c r="U97" t="s">
        <v>54</v>
      </c>
    </row>
    <row r="98" spans="1:21">
      <c r="A98">
        <v>6</v>
      </c>
      <c r="B98" t="s">
        <v>15</v>
      </c>
      <c r="C98" t="s">
        <v>47</v>
      </c>
      <c r="D98">
        <v>100</v>
      </c>
      <c r="E98">
        <v>75</v>
      </c>
      <c r="H98">
        <v>0</v>
      </c>
      <c r="I98">
        <f t="shared" si="10"/>
        <v>175</v>
      </c>
      <c r="J98" t="s">
        <v>55</v>
      </c>
      <c r="L98">
        <v>6</v>
      </c>
      <c r="M98" t="s">
        <v>15</v>
      </c>
      <c r="N98" t="s">
        <v>60</v>
      </c>
      <c r="O98">
        <v>71</v>
      </c>
      <c r="P98">
        <v>81</v>
      </c>
      <c r="S98">
        <v>0</v>
      </c>
      <c r="T98">
        <f t="shared" si="11"/>
        <v>152</v>
      </c>
      <c r="U98" t="s">
        <v>55</v>
      </c>
    </row>
    <row r="99" spans="1:21">
      <c r="A99">
        <v>7</v>
      </c>
      <c r="B99" t="s">
        <v>16</v>
      </c>
      <c r="C99" t="s">
        <v>47</v>
      </c>
      <c r="D99">
        <v>0</v>
      </c>
      <c r="E99">
        <v>0</v>
      </c>
      <c r="I99">
        <f t="shared" si="10"/>
        <v>0</v>
      </c>
      <c r="J99" t="s">
        <v>52</v>
      </c>
      <c r="L99">
        <v>7</v>
      </c>
      <c r="M99" t="s">
        <v>16</v>
      </c>
      <c r="N99" t="s">
        <v>60</v>
      </c>
      <c r="O99">
        <v>0</v>
      </c>
      <c r="P99">
        <v>0</v>
      </c>
      <c r="T99">
        <f t="shared" si="11"/>
        <v>0</v>
      </c>
      <c r="U99" t="s">
        <v>52</v>
      </c>
    </row>
    <row r="100" spans="1:21">
      <c r="A100">
        <v>8</v>
      </c>
      <c r="B100" t="s">
        <v>17</v>
      </c>
      <c r="C100" t="s">
        <v>47</v>
      </c>
      <c r="D100">
        <v>23</v>
      </c>
      <c r="E100">
        <v>25</v>
      </c>
      <c r="F100">
        <v>1</v>
      </c>
      <c r="G100">
        <v>4</v>
      </c>
      <c r="H100">
        <v>5</v>
      </c>
      <c r="I100">
        <f t="shared" si="10"/>
        <v>53</v>
      </c>
      <c r="J100" t="s">
        <v>50</v>
      </c>
      <c r="L100">
        <v>8</v>
      </c>
      <c r="M100" t="s">
        <v>17</v>
      </c>
      <c r="N100" t="s">
        <v>60</v>
      </c>
      <c r="O100">
        <v>77</v>
      </c>
      <c r="P100">
        <v>62</v>
      </c>
      <c r="S100">
        <v>0</v>
      </c>
      <c r="T100">
        <f t="shared" si="11"/>
        <v>139</v>
      </c>
      <c r="U100" t="s">
        <v>50</v>
      </c>
    </row>
    <row r="101" spans="1:21">
      <c r="A101">
        <v>9</v>
      </c>
      <c r="B101" t="s">
        <v>18</v>
      </c>
      <c r="C101" t="s">
        <v>47</v>
      </c>
      <c r="D101">
        <v>44</v>
      </c>
      <c r="E101">
        <v>19</v>
      </c>
      <c r="H101">
        <v>5</v>
      </c>
      <c r="I101">
        <f t="shared" si="10"/>
        <v>68</v>
      </c>
      <c r="J101" t="s">
        <v>56</v>
      </c>
      <c r="L101">
        <v>9</v>
      </c>
      <c r="M101" t="s">
        <v>18</v>
      </c>
      <c r="N101" t="s">
        <v>60</v>
      </c>
      <c r="O101">
        <v>0</v>
      </c>
      <c r="P101">
        <v>0</v>
      </c>
      <c r="T101">
        <f t="shared" si="11"/>
        <v>0</v>
      </c>
      <c r="U101" t="s">
        <v>56</v>
      </c>
    </row>
    <row r="102" spans="1:21">
      <c r="A102">
        <v>10</v>
      </c>
      <c r="B102" t="s">
        <v>19</v>
      </c>
      <c r="C102" t="s">
        <v>47</v>
      </c>
      <c r="D102">
        <v>117</v>
      </c>
      <c r="E102">
        <v>68</v>
      </c>
      <c r="H102">
        <v>13</v>
      </c>
      <c r="I102">
        <f t="shared" si="10"/>
        <v>198</v>
      </c>
      <c r="J102" t="s">
        <v>53</v>
      </c>
      <c r="L102">
        <v>10</v>
      </c>
      <c r="M102" t="s">
        <v>19</v>
      </c>
      <c r="N102" t="s">
        <v>60</v>
      </c>
      <c r="O102">
        <v>97</v>
      </c>
      <c r="P102">
        <v>53</v>
      </c>
      <c r="S102">
        <v>18</v>
      </c>
      <c r="T102">
        <f t="shared" si="11"/>
        <v>168</v>
      </c>
      <c r="U102" t="s">
        <v>53</v>
      </c>
    </row>
    <row r="103" spans="1:21">
      <c r="A103">
        <v>11</v>
      </c>
      <c r="B103" t="s">
        <v>25</v>
      </c>
      <c r="C103" t="s">
        <v>47</v>
      </c>
      <c r="D103">
        <v>8</v>
      </c>
      <c r="E103">
        <v>4</v>
      </c>
      <c r="F103">
        <v>4</v>
      </c>
      <c r="G103">
        <v>3</v>
      </c>
      <c r="H103">
        <v>7</v>
      </c>
      <c r="I103">
        <f t="shared" ref="I103:I111" si="12">D103+E103+H103</f>
        <v>19</v>
      </c>
      <c r="J103" t="s">
        <v>54</v>
      </c>
      <c r="L103">
        <v>11</v>
      </c>
      <c r="M103" t="s">
        <v>25</v>
      </c>
      <c r="N103" t="s">
        <v>60</v>
      </c>
      <c r="O103">
        <v>0</v>
      </c>
      <c r="P103">
        <v>0</v>
      </c>
      <c r="T103">
        <f t="shared" si="11"/>
        <v>0</v>
      </c>
      <c r="U103" t="s">
        <v>54</v>
      </c>
    </row>
    <row r="104" spans="1:21">
      <c r="A104">
        <v>12</v>
      </c>
      <c r="B104" t="s">
        <v>27</v>
      </c>
      <c r="C104" t="s">
        <v>47</v>
      </c>
      <c r="D104">
        <v>197</v>
      </c>
      <c r="E104">
        <v>204</v>
      </c>
      <c r="F104">
        <v>19</v>
      </c>
      <c r="G104">
        <v>20</v>
      </c>
      <c r="H104">
        <v>39</v>
      </c>
      <c r="I104">
        <f t="shared" si="12"/>
        <v>440</v>
      </c>
      <c r="J104" t="s">
        <v>56</v>
      </c>
      <c r="L104">
        <v>12</v>
      </c>
      <c r="M104" t="s">
        <v>27</v>
      </c>
      <c r="N104" t="s">
        <v>60</v>
      </c>
      <c r="O104">
        <v>192</v>
      </c>
      <c r="P104">
        <v>230</v>
      </c>
      <c r="Q104">
        <v>25</v>
      </c>
      <c r="R104">
        <v>24</v>
      </c>
      <c r="S104">
        <v>49</v>
      </c>
      <c r="T104">
        <f t="shared" si="11"/>
        <v>471</v>
      </c>
      <c r="U104" t="s">
        <v>56</v>
      </c>
    </row>
    <row r="105" spans="1:21">
      <c r="A105">
        <v>13</v>
      </c>
      <c r="B105" t="s">
        <v>20</v>
      </c>
      <c r="C105" t="s">
        <v>47</v>
      </c>
      <c r="D105">
        <v>101</v>
      </c>
      <c r="E105">
        <v>112</v>
      </c>
      <c r="F105">
        <v>2</v>
      </c>
      <c r="G105">
        <v>5</v>
      </c>
      <c r="H105">
        <v>7</v>
      </c>
      <c r="I105">
        <f t="shared" si="12"/>
        <v>220</v>
      </c>
      <c r="J105" t="s">
        <v>57</v>
      </c>
      <c r="L105">
        <v>13</v>
      </c>
      <c r="M105" t="s">
        <v>20</v>
      </c>
      <c r="N105" t="s">
        <v>60</v>
      </c>
      <c r="O105">
        <v>0</v>
      </c>
      <c r="P105">
        <v>0</v>
      </c>
      <c r="T105">
        <f t="shared" si="11"/>
        <v>0</v>
      </c>
      <c r="U105" t="s">
        <v>57</v>
      </c>
    </row>
    <row r="106" spans="1:21">
      <c r="A106">
        <v>14</v>
      </c>
      <c r="B106" t="s">
        <v>32</v>
      </c>
      <c r="C106" t="s">
        <v>47</v>
      </c>
      <c r="D106">
        <v>22</v>
      </c>
      <c r="E106">
        <v>26</v>
      </c>
      <c r="F106">
        <v>0</v>
      </c>
      <c r="G106">
        <v>3</v>
      </c>
      <c r="I106">
        <f t="shared" si="12"/>
        <v>48</v>
      </c>
      <c r="J106" t="s">
        <v>50</v>
      </c>
      <c r="L106">
        <v>14</v>
      </c>
      <c r="M106" t="s">
        <v>32</v>
      </c>
      <c r="N106" t="s">
        <v>60</v>
      </c>
      <c r="O106">
        <v>0</v>
      </c>
      <c r="P106">
        <v>0</v>
      </c>
      <c r="T106">
        <f t="shared" si="11"/>
        <v>0</v>
      </c>
      <c r="U106" t="s">
        <v>50</v>
      </c>
    </row>
    <row r="107" spans="1:21">
      <c r="A107">
        <v>15</v>
      </c>
      <c r="B107" t="s">
        <v>48</v>
      </c>
      <c r="C107" t="s">
        <v>47</v>
      </c>
      <c r="D107">
        <v>8</v>
      </c>
      <c r="E107">
        <v>9</v>
      </c>
      <c r="F107">
        <v>0</v>
      </c>
      <c r="G107">
        <v>0</v>
      </c>
      <c r="H107">
        <v>0</v>
      </c>
      <c r="I107">
        <f t="shared" si="12"/>
        <v>17</v>
      </c>
      <c r="J107" t="s">
        <v>59</v>
      </c>
      <c r="L107">
        <v>15</v>
      </c>
      <c r="M107" t="s">
        <v>48</v>
      </c>
      <c r="N107" t="s">
        <v>60</v>
      </c>
      <c r="O107">
        <v>0</v>
      </c>
      <c r="P107">
        <v>0</v>
      </c>
      <c r="T107">
        <f t="shared" si="11"/>
        <v>0</v>
      </c>
      <c r="U107" t="s">
        <v>59</v>
      </c>
    </row>
    <row r="108" spans="1:21">
      <c r="A108">
        <v>16</v>
      </c>
      <c r="B108" t="s">
        <v>37</v>
      </c>
      <c r="C108" t="s">
        <v>47</v>
      </c>
      <c r="D108">
        <v>20</v>
      </c>
      <c r="E108">
        <v>14</v>
      </c>
      <c r="F108">
        <v>1</v>
      </c>
      <c r="G108">
        <v>0</v>
      </c>
      <c r="H108">
        <v>1</v>
      </c>
      <c r="I108">
        <f t="shared" si="12"/>
        <v>35</v>
      </c>
      <c r="J108" t="s">
        <v>55</v>
      </c>
      <c r="L108">
        <v>16</v>
      </c>
      <c r="M108" t="s">
        <v>37</v>
      </c>
      <c r="N108" t="s">
        <v>60</v>
      </c>
      <c r="O108">
        <v>0</v>
      </c>
      <c r="P108">
        <v>0</v>
      </c>
      <c r="T108">
        <f t="shared" si="11"/>
        <v>0</v>
      </c>
      <c r="U108" t="s">
        <v>55</v>
      </c>
    </row>
    <row r="109" spans="1:21">
      <c r="A109">
        <v>17</v>
      </c>
      <c r="B109" t="s">
        <v>49</v>
      </c>
      <c r="C109" t="s">
        <v>47</v>
      </c>
      <c r="D109">
        <v>10</v>
      </c>
      <c r="E109">
        <v>5</v>
      </c>
      <c r="F109">
        <v>0</v>
      </c>
      <c r="G109">
        <v>0</v>
      </c>
      <c r="H109">
        <v>0</v>
      </c>
      <c r="I109">
        <f t="shared" si="12"/>
        <v>15</v>
      </c>
      <c r="J109" t="s">
        <v>59</v>
      </c>
      <c r="L109">
        <v>17</v>
      </c>
      <c r="M109" t="s">
        <v>49</v>
      </c>
      <c r="N109" t="s">
        <v>60</v>
      </c>
      <c r="O109">
        <v>0</v>
      </c>
      <c r="P109">
        <v>0</v>
      </c>
      <c r="T109">
        <f t="shared" si="11"/>
        <v>0</v>
      </c>
      <c r="U109" t="s">
        <v>59</v>
      </c>
    </row>
    <row r="110" spans="1:21">
      <c r="A110">
        <v>18</v>
      </c>
      <c r="B110" t="s">
        <v>21</v>
      </c>
      <c r="C110" t="s">
        <v>47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2"/>
        <v>0</v>
      </c>
      <c r="J110" t="s">
        <v>59</v>
      </c>
      <c r="L110">
        <v>18</v>
      </c>
      <c r="M110" t="s">
        <v>21</v>
      </c>
      <c r="N110" t="s">
        <v>60</v>
      </c>
      <c r="O110">
        <v>0</v>
      </c>
      <c r="P110">
        <v>0</v>
      </c>
      <c r="T110">
        <f t="shared" si="11"/>
        <v>0</v>
      </c>
      <c r="U110" t="s">
        <v>59</v>
      </c>
    </row>
    <row r="111" spans="1:21">
      <c r="A111">
        <v>19</v>
      </c>
      <c r="B111" t="s">
        <v>26</v>
      </c>
      <c r="C111" t="s">
        <v>47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f t="shared" si="12"/>
        <v>0</v>
      </c>
      <c r="J111" t="s">
        <v>54</v>
      </c>
      <c r="L111">
        <v>19</v>
      </c>
      <c r="M111" t="s">
        <v>26</v>
      </c>
      <c r="N111" t="s">
        <v>60</v>
      </c>
      <c r="O111">
        <v>0</v>
      </c>
      <c r="P111">
        <v>0</v>
      </c>
      <c r="T111">
        <f t="shared" si="11"/>
        <v>0</v>
      </c>
      <c r="U111" t="s">
        <v>54</v>
      </c>
    </row>
    <row r="112" spans="1:21">
      <c r="B112" t="s">
        <v>8</v>
      </c>
      <c r="D112">
        <f>SUM(D93:D111)</f>
        <v>808</v>
      </c>
      <c r="E112">
        <f>SUM(E93:E111)</f>
        <v>719</v>
      </c>
      <c r="I112">
        <f>I93+I94+I95+I96+I97+I98+I99+I100+I101+I102+I103+I104+I105+I106+I107+I108+I109+I110+I111</f>
        <v>1638</v>
      </c>
      <c r="M112" t="s">
        <v>8</v>
      </c>
      <c r="O112">
        <f>SUM(O93:O111)</f>
        <v>587</v>
      </c>
      <c r="P112">
        <f>SUM(P93:P111)</f>
        <v>561</v>
      </c>
      <c r="T112">
        <f>T93+T94+T95+T96+T97+T98+T99+T100+T101+T102+T104+T105+T106+T107+T108+T109+T110+T111</f>
        <v>1230</v>
      </c>
    </row>
    <row r="114" spans="1:21">
      <c r="B114" t="s">
        <v>38</v>
      </c>
      <c r="C114" t="s">
        <v>62</v>
      </c>
      <c r="E114" t="s">
        <v>82</v>
      </c>
      <c r="M114" t="s">
        <v>38</v>
      </c>
      <c r="N114" t="s">
        <v>83</v>
      </c>
      <c r="P114" t="s">
        <v>103</v>
      </c>
    </row>
    <row r="115" spans="1:21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7</v>
      </c>
      <c r="I115" t="s">
        <v>8</v>
      </c>
      <c r="J115" t="s">
        <v>51</v>
      </c>
      <c r="L115" t="s">
        <v>0</v>
      </c>
      <c r="M115" t="s">
        <v>1</v>
      </c>
      <c r="N115" t="s">
        <v>2</v>
      </c>
      <c r="O115" t="s">
        <v>3</v>
      </c>
      <c r="P115" t="s">
        <v>4</v>
      </c>
      <c r="Q115" t="s">
        <v>5</v>
      </c>
      <c r="R115" t="s">
        <v>6</v>
      </c>
      <c r="S115" t="s">
        <v>7</v>
      </c>
      <c r="T115" t="s">
        <v>8</v>
      </c>
      <c r="U115" t="s">
        <v>51</v>
      </c>
    </row>
    <row r="116" spans="1:21">
      <c r="A116">
        <v>1</v>
      </c>
      <c r="B116" t="s">
        <v>9</v>
      </c>
      <c r="C116" t="s">
        <v>63</v>
      </c>
      <c r="D116">
        <v>10</v>
      </c>
      <c r="E116">
        <v>2</v>
      </c>
      <c r="F116">
        <v>2</v>
      </c>
      <c r="G116">
        <v>0</v>
      </c>
      <c r="H116">
        <v>2</v>
      </c>
      <c r="I116">
        <f>D116+E116+H116</f>
        <v>14</v>
      </c>
      <c r="J116" t="s">
        <v>50</v>
      </c>
      <c r="L116">
        <v>1</v>
      </c>
      <c r="M116" t="s">
        <v>9</v>
      </c>
      <c r="N116" t="s">
        <v>84</v>
      </c>
      <c r="O116">
        <v>15</v>
      </c>
      <c r="P116">
        <v>20</v>
      </c>
      <c r="Q116">
        <v>1</v>
      </c>
      <c r="R116">
        <v>2</v>
      </c>
      <c r="S116">
        <v>3</v>
      </c>
      <c r="T116">
        <f>O116+P116+S116</f>
        <v>38</v>
      </c>
      <c r="U116" t="s">
        <v>50</v>
      </c>
    </row>
    <row r="117" spans="1:21">
      <c r="A117">
        <v>2</v>
      </c>
      <c r="B117" t="s">
        <v>11</v>
      </c>
      <c r="C117" t="s">
        <v>64</v>
      </c>
      <c r="D117">
        <v>11</v>
      </c>
      <c r="E117">
        <v>11</v>
      </c>
      <c r="F117">
        <v>5</v>
      </c>
      <c r="G117">
        <v>6</v>
      </c>
      <c r="H117">
        <v>11</v>
      </c>
      <c r="I117">
        <f>D117+E117+H117</f>
        <v>33</v>
      </c>
      <c r="J117" t="s">
        <v>52</v>
      </c>
      <c r="L117">
        <v>2</v>
      </c>
      <c r="M117" t="s">
        <v>11</v>
      </c>
      <c r="N117" t="s">
        <v>85</v>
      </c>
      <c r="O117">
        <v>16</v>
      </c>
      <c r="P117">
        <v>4</v>
      </c>
      <c r="Q117">
        <v>0</v>
      </c>
      <c r="R117">
        <v>0</v>
      </c>
      <c r="S117">
        <v>0</v>
      </c>
      <c r="T117">
        <f>O117+P117+S117</f>
        <v>20</v>
      </c>
      <c r="U117" t="s">
        <v>52</v>
      </c>
    </row>
    <row r="118" spans="1:21">
      <c r="A118">
        <v>3</v>
      </c>
      <c r="B118" t="s">
        <v>12</v>
      </c>
      <c r="C118" t="s">
        <v>65</v>
      </c>
      <c r="D118">
        <v>24</v>
      </c>
      <c r="E118">
        <v>21</v>
      </c>
      <c r="H118">
        <v>0</v>
      </c>
      <c r="I118">
        <f>SUM(D118,E118,H118)</f>
        <v>45</v>
      </c>
      <c r="J118" t="s">
        <v>53</v>
      </c>
      <c r="L118">
        <v>3</v>
      </c>
      <c r="M118" t="s">
        <v>12</v>
      </c>
      <c r="N118" t="s">
        <v>86</v>
      </c>
      <c r="O118">
        <v>30</v>
      </c>
      <c r="P118">
        <v>22</v>
      </c>
      <c r="Q118">
        <v>0</v>
      </c>
      <c r="R118">
        <v>0</v>
      </c>
      <c r="S118">
        <v>0</v>
      </c>
      <c r="T118">
        <f>SUM(O118,P118,S118)</f>
        <v>52</v>
      </c>
      <c r="U118" t="s">
        <v>53</v>
      </c>
    </row>
    <row r="119" spans="1:21">
      <c r="A119">
        <v>4</v>
      </c>
      <c r="B119" t="s">
        <v>13</v>
      </c>
      <c r="C119" t="s">
        <v>66</v>
      </c>
      <c r="D119">
        <v>25</v>
      </c>
      <c r="E119">
        <v>9</v>
      </c>
      <c r="H119">
        <v>3</v>
      </c>
      <c r="I119">
        <f t="shared" ref="I119:I134" si="13">D119+E119+H119</f>
        <v>37</v>
      </c>
      <c r="J119" t="s">
        <v>52</v>
      </c>
      <c r="L119">
        <v>4</v>
      </c>
      <c r="M119" t="s">
        <v>13</v>
      </c>
      <c r="N119" t="s">
        <v>87</v>
      </c>
      <c r="O119">
        <v>36</v>
      </c>
      <c r="P119">
        <v>11</v>
      </c>
      <c r="Q119">
        <v>0</v>
      </c>
      <c r="R119">
        <v>0</v>
      </c>
      <c r="S119">
        <v>0</v>
      </c>
      <c r="T119">
        <f t="shared" ref="T119:T134" si="14">O119+P119+S119</f>
        <v>47</v>
      </c>
      <c r="U119" t="s">
        <v>52</v>
      </c>
    </row>
    <row r="120" spans="1:21">
      <c r="A120">
        <v>5</v>
      </c>
      <c r="B120" t="s">
        <v>14</v>
      </c>
      <c r="C120" t="s">
        <v>67</v>
      </c>
      <c r="D120">
        <v>48</v>
      </c>
      <c r="E120">
        <v>50</v>
      </c>
      <c r="H120">
        <v>18</v>
      </c>
      <c r="I120">
        <f t="shared" si="13"/>
        <v>116</v>
      </c>
      <c r="J120" t="s">
        <v>54</v>
      </c>
      <c r="L120">
        <v>5</v>
      </c>
      <c r="M120" t="s">
        <v>14</v>
      </c>
      <c r="N120" t="s">
        <v>88</v>
      </c>
      <c r="O120">
        <v>138</v>
      </c>
      <c r="P120">
        <v>336</v>
      </c>
      <c r="S120">
        <v>97</v>
      </c>
      <c r="T120">
        <f t="shared" si="14"/>
        <v>571</v>
      </c>
      <c r="U120" t="s">
        <v>54</v>
      </c>
    </row>
    <row r="121" spans="1:21">
      <c r="A121">
        <v>6</v>
      </c>
      <c r="B121" t="s">
        <v>15</v>
      </c>
      <c r="C121" t="s">
        <v>68</v>
      </c>
      <c r="D121">
        <v>51</v>
      </c>
      <c r="E121">
        <v>31</v>
      </c>
      <c r="H121">
        <v>0</v>
      </c>
      <c r="I121">
        <f t="shared" si="13"/>
        <v>82</v>
      </c>
      <c r="J121" t="s">
        <v>55</v>
      </c>
      <c r="L121">
        <v>6</v>
      </c>
      <c r="M121" t="s">
        <v>15</v>
      </c>
      <c r="N121" t="s">
        <v>89</v>
      </c>
      <c r="O121">
        <v>102</v>
      </c>
      <c r="P121">
        <v>64</v>
      </c>
      <c r="S121">
        <v>0</v>
      </c>
      <c r="T121">
        <f t="shared" si="14"/>
        <v>166</v>
      </c>
      <c r="U121" t="s">
        <v>55</v>
      </c>
    </row>
    <row r="122" spans="1:21">
      <c r="A122">
        <v>7</v>
      </c>
      <c r="B122" t="s">
        <v>16</v>
      </c>
      <c r="C122" t="s">
        <v>69</v>
      </c>
      <c r="D122">
        <v>0</v>
      </c>
      <c r="E122">
        <v>0</v>
      </c>
      <c r="I122">
        <f t="shared" si="13"/>
        <v>0</v>
      </c>
      <c r="J122" t="s">
        <v>52</v>
      </c>
      <c r="L122">
        <v>7</v>
      </c>
      <c r="M122" t="s">
        <v>16</v>
      </c>
      <c r="N122" t="s">
        <v>90</v>
      </c>
      <c r="O122">
        <v>0</v>
      </c>
      <c r="P122">
        <v>0</v>
      </c>
      <c r="T122">
        <f t="shared" si="14"/>
        <v>0</v>
      </c>
      <c r="U122" t="s">
        <v>52</v>
      </c>
    </row>
    <row r="123" spans="1:21">
      <c r="A123">
        <v>8</v>
      </c>
      <c r="B123" t="s">
        <v>17</v>
      </c>
      <c r="C123" t="s">
        <v>70</v>
      </c>
      <c r="D123">
        <v>34</v>
      </c>
      <c r="E123">
        <v>15</v>
      </c>
      <c r="F123">
        <v>1</v>
      </c>
      <c r="G123">
        <v>0</v>
      </c>
      <c r="H123">
        <v>1</v>
      </c>
      <c r="I123">
        <f t="shared" si="13"/>
        <v>50</v>
      </c>
      <c r="J123" t="s">
        <v>50</v>
      </c>
      <c r="L123">
        <v>8</v>
      </c>
      <c r="M123" t="s">
        <v>17</v>
      </c>
      <c r="N123" t="s">
        <v>91</v>
      </c>
      <c r="O123">
        <v>29</v>
      </c>
      <c r="P123">
        <v>11</v>
      </c>
      <c r="Q123">
        <v>0</v>
      </c>
      <c r="R123">
        <v>1</v>
      </c>
      <c r="S123">
        <v>1</v>
      </c>
      <c r="T123">
        <f t="shared" si="14"/>
        <v>41</v>
      </c>
      <c r="U123" t="s">
        <v>50</v>
      </c>
    </row>
    <row r="124" spans="1:21">
      <c r="A124">
        <v>9</v>
      </c>
      <c r="B124" t="s">
        <v>18</v>
      </c>
      <c r="C124" t="s">
        <v>71</v>
      </c>
      <c r="D124">
        <v>37</v>
      </c>
      <c r="E124">
        <v>16</v>
      </c>
      <c r="H124">
        <v>8</v>
      </c>
      <c r="I124">
        <f t="shared" si="13"/>
        <v>61</v>
      </c>
      <c r="J124" t="s">
        <v>56</v>
      </c>
      <c r="L124">
        <v>9</v>
      </c>
      <c r="M124" t="s">
        <v>18</v>
      </c>
      <c r="N124" t="s">
        <v>92</v>
      </c>
      <c r="O124">
        <v>0</v>
      </c>
      <c r="P124">
        <v>0</v>
      </c>
      <c r="T124">
        <f t="shared" si="14"/>
        <v>0</v>
      </c>
      <c r="U124" t="s">
        <v>56</v>
      </c>
    </row>
    <row r="125" spans="1:21">
      <c r="A125">
        <v>10</v>
      </c>
      <c r="B125" t="s">
        <v>19</v>
      </c>
      <c r="C125" t="s">
        <v>72</v>
      </c>
      <c r="D125">
        <v>41</v>
      </c>
      <c r="E125">
        <v>38</v>
      </c>
      <c r="H125">
        <v>6</v>
      </c>
      <c r="I125">
        <f t="shared" si="13"/>
        <v>85</v>
      </c>
      <c r="J125" t="s">
        <v>53</v>
      </c>
      <c r="L125">
        <v>10</v>
      </c>
      <c r="M125" t="s">
        <v>19</v>
      </c>
      <c r="N125" t="s">
        <v>93</v>
      </c>
      <c r="O125">
        <v>128</v>
      </c>
      <c r="P125">
        <v>95</v>
      </c>
      <c r="S125">
        <v>47</v>
      </c>
      <c r="T125">
        <f t="shared" si="14"/>
        <v>270</v>
      </c>
      <c r="U125" t="s">
        <v>53</v>
      </c>
    </row>
    <row r="126" spans="1:21">
      <c r="A126">
        <v>11</v>
      </c>
      <c r="B126" t="s">
        <v>25</v>
      </c>
      <c r="C126" t="s">
        <v>73</v>
      </c>
      <c r="D126">
        <v>6</v>
      </c>
      <c r="E126">
        <v>1</v>
      </c>
      <c r="F126">
        <v>3</v>
      </c>
      <c r="G126">
        <v>4</v>
      </c>
      <c r="H126">
        <v>7</v>
      </c>
      <c r="I126">
        <f t="shared" si="13"/>
        <v>14</v>
      </c>
      <c r="J126" t="s">
        <v>54</v>
      </c>
      <c r="L126">
        <v>11</v>
      </c>
      <c r="M126" t="s">
        <v>25</v>
      </c>
      <c r="N126" t="s">
        <v>94</v>
      </c>
      <c r="O126">
        <v>7</v>
      </c>
      <c r="P126">
        <v>2</v>
      </c>
      <c r="Q126">
        <v>1</v>
      </c>
      <c r="R126">
        <v>1</v>
      </c>
      <c r="S126">
        <v>2</v>
      </c>
      <c r="T126">
        <f t="shared" si="14"/>
        <v>11</v>
      </c>
      <c r="U126" t="s">
        <v>54</v>
      </c>
    </row>
    <row r="127" spans="1:21">
      <c r="A127">
        <v>12</v>
      </c>
      <c r="B127" t="s">
        <v>27</v>
      </c>
      <c r="C127" t="s">
        <v>74</v>
      </c>
      <c r="D127">
        <v>167</v>
      </c>
      <c r="E127">
        <v>181</v>
      </c>
      <c r="F127">
        <v>16</v>
      </c>
      <c r="G127">
        <v>14</v>
      </c>
      <c r="H127">
        <v>30</v>
      </c>
      <c r="I127">
        <f t="shared" si="13"/>
        <v>378</v>
      </c>
      <c r="J127" t="s">
        <v>56</v>
      </c>
      <c r="L127">
        <v>12</v>
      </c>
      <c r="M127" t="s">
        <v>27</v>
      </c>
      <c r="N127" t="s">
        <v>95</v>
      </c>
      <c r="O127">
        <v>0</v>
      </c>
      <c r="P127">
        <v>0</v>
      </c>
      <c r="T127">
        <f t="shared" si="14"/>
        <v>0</v>
      </c>
      <c r="U127" t="s">
        <v>56</v>
      </c>
    </row>
    <row r="128" spans="1:21">
      <c r="A128">
        <v>13</v>
      </c>
      <c r="B128" t="s">
        <v>20</v>
      </c>
      <c r="C128" t="s">
        <v>75</v>
      </c>
      <c r="D128">
        <v>0</v>
      </c>
      <c r="E128">
        <v>0</v>
      </c>
      <c r="I128">
        <f t="shared" si="13"/>
        <v>0</v>
      </c>
      <c r="J128" t="s">
        <v>57</v>
      </c>
      <c r="L128">
        <v>13</v>
      </c>
      <c r="M128" t="s">
        <v>20</v>
      </c>
      <c r="N128" t="s">
        <v>96</v>
      </c>
      <c r="O128">
        <v>173</v>
      </c>
      <c r="P128">
        <v>114</v>
      </c>
      <c r="Q128">
        <v>3</v>
      </c>
      <c r="R128">
        <v>5</v>
      </c>
      <c r="S128">
        <v>8</v>
      </c>
      <c r="T128">
        <f t="shared" si="14"/>
        <v>295</v>
      </c>
      <c r="U128" t="s">
        <v>57</v>
      </c>
    </row>
    <row r="129" spans="1:21">
      <c r="A129">
        <v>14</v>
      </c>
      <c r="B129" t="s">
        <v>32</v>
      </c>
      <c r="C129" t="s">
        <v>76</v>
      </c>
      <c r="D129">
        <v>0</v>
      </c>
      <c r="E129">
        <v>0</v>
      </c>
      <c r="I129">
        <f t="shared" si="13"/>
        <v>0</v>
      </c>
      <c r="J129" t="s">
        <v>50</v>
      </c>
      <c r="L129">
        <v>14</v>
      </c>
      <c r="M129" t="s">
        <v>32</v>
      </c>
      <c r="N129" t="s">
        <v>97</v>
      </c>
      <c r="O129">
        <v>0</v>
      </c>
      <c r="P129">
        <v>0</v>
      </c>
      <c r="T129">
        <f t="shared" si="14"/>
        <v>0</v>
      </c>
      <c r="U129" t="s">
        <v>50</v>
      </c>
    </row>
    <row r="130" spans="1:21">
      <c r="A130">
        <v>15</v>
      </c>
      <c r="B130" t="s">
        <v>48</v>
      </c>
      <c r="C130" t="s">
        <v>77</v>
      </c>
      <c r="D130">
        <v>0</v>
      </c>
      <c r="E130">
        <v>0</v>
      </c>
      <c r="I130">
        <f t="shared" si="13"/>
        <v>0</v>
      </c>
      <c r="J130" t="s">
        <v>59</v>
      </c>
      <c r="L130">
        <v>15</v>
      </c>
      <c r="M130" t="s">
        <v>48</v>
      </c>
      <c r="N130" t="s">
        <v>98</v>
      </c>
      <c r="O130">
        <v>16</v>
      </c>
      <c r="P130">
        <v>6</v>
      </c>
      <c r="Q130">
        <v>0</v>
      </c>
      <c r="R130">
        <v>0</v>
      </c>
      <c r="S130">
        <v>0</v>
      </c>
      <c r="T130">
        <f t="shared" si="14"/>
        <v>22</v>
      </c>
      <c r="U130" t="s">
        <v>59</v>
      </c>
    </row>
    <row r="131" spans="1:21">
      <c r="A131">
        <v>16</v>
      </c>
      <c r="B131" t="s">
        <v>37</v>
      </c>
      <c r="C131" t="s">
        <v>78</v>
      </c>
      <c r="D131">
        <v>0</v>
      </c>
      <c r="E131">
        <v>0</v>
      </c>
      <c r="I131">
        <f t="shared" si="13"/>
        <v>0</v>
      </c>
      <c r="J131" t="s">
        <v>55</v>
      </c>
      <c r="L131">
        <v>16</v>
      </c>
      <c r="M131" t="s">
        <v>37</v>
      </c>
      <c r="N131" t="s">
        <v>99</v>
      </c>
      <c r="O131">
        <v>16</v>
      </c>
      <c r="P131">
        <v>5</v>
      </c>
      <c r="Q131">
        <v>1</v>
      </c>
      <c r="R131">
        <v>0</v>
      </c>
      <c r="S131">
        <v>1</v>
      </c>
      <c r="T131">
        <f t="shared" si="14"/>
        <v>22</v>
      </c>
      <c r="U131" t="s">
        <v>55</v>
      </c>
    </row>
    <row r="132" spans="1:21">
      <c r="A132">
        <v>17</v>
      </c>
      <c r="B132" t="s">
        <v>49</v>
      </c>
      <c r="C132" t="s">
        <v>79</v>
      </c>
      <c r="D132">
        <v>0</v>
      </c>
      <c r="E132">
        <v>0</v>
      </c>
      <c r="I132">
        <f t="shared" si="13"/>
        <v>0</v>
      </c>
      <c r="J132" t="s">
        <v>59</v>
      </c>
      <c r="L132">
        <v>17</v>
      </c>
      <c r="M132" t="s">
        <v>49</v>
      </c>
      <c r="N132" t="s">
        <v>100</v>
      </c>
      <c r="O132">
        <v>0</v>
      </c>
      <c r="P132">
        <v>0</v>
      </c>
      <c r="T132">
        <f t="shared" si="14"/>
        <v>0</v>
      </c>
      <c r="U132" t="s">
        <v>59</v>
      </c>
    </row>
    <row r="133" spans="1:21">
      <c r="A133">
        <v>18</v>
      </c>
      <c r="B133" t="s">
        <v>21</v>
      </c>
      <c r="C133" t="s">
        <v>80</v>
      </c>
      <c r="D133">
        <v>0</v>
      </c>
      <c r="E133">
        <v>0</v>
      </c>
      <c r="I133">
        <f t="shared" si="13"/>
        <v>0</v>
      </c>
      <c r="J133" t="s">
        <v>59</v>
      </c>
      <c r="L133">
        <v>18</v>
      </c>
      <c r="M133" t="s">
        <v>21</v>
      </c>
      <c r="N133" t="s">
        <v>101</v>
      </c>
      <c r="O133">
        <v>0</v>
      </c>
      <c r="P133">
        <v>0</v>
      </c>
      <c r="T133">
        <f t="shared" si="14"/>
        <v>0</v>
      </c>
      <c r="U133" t="s">
        <v>59</v>
      </c>
    </row>
    <row r="134" spans="1:21">
      <c r="A134">
        <v>19</v>
      </c>
      <c r="B134" t="s">
        <v>26</v>
      </c>
      <c r="C134" t="s">
        <v>81</v>
      </c>
      <c r="D134">
        <v>0</v>
      </c>
      <c r="E134">
        <v>0</v>
      </c>
      <c r="I134">
        <f t="shared" si="13"/>
        <v>0</v>
      </c>
      <c r="J134" t="s">
        <v>54</v>
      </c>
      <c r="L134">
        <v>19</v>
      </c>
      <c r="M134" t="s">
        <v>26</v>
      </c>
      <c r="N134" t="s">
        <v>102</v>
      </c>
      <c r="O134">
        <v>0</v>
      </c>
      <c r="P134">
        <v>0</v>
      </c>
      <c r="T134">
        <f t="shared" si="14"/>
        <v>0</v>
      </c>
      <c r="U134" t="s">
        <v>54</v>
      </c>
    </row>
    <row r="135" spans="1:21">
      <c r="B135" t="s">
        <v>8</v>
      </c>
      <c r="D135">
        <f>SUM(D116:D134)</f>
        <v>454</v>
      </c>
      <c r="E135">
        <f>SUM(E116:E134)</f>
        <v>375</v>
      </c>
      <c r="I135">
        <f>I116+I117+I118+I119+I120+I121+I122+I123+I124+I125+I126+I127+I128+I129+I130+I131+I132+I133+I13+I134</f>
        <v>915</v>
      </c>
      <c r="M135" t="s">
        <v>8</v>
      </c>
      <c r="O135">
        <f>SUM(SUM(O116:O134))</f>
        <v>706</v>
      </c>
      <c r="P135">
        <f>SUM(P116:P134)</f>
        <v>690</v>
      </c>
      <c r="T135">
        <f>T116+T117+T118+T119+T120+T121+T122+T123+T124+T125+T126+T127+T128+T129+T130+T131+T132+T133+T13+T134</f>
        <v>1569</v>
      </c>
    </row>
    <row r="137" spans="1:21">
      <c r="B137" t="s">
        <v>38</v>
      </c>
      <c r="C137" t="s">
        <v>105</v>
      </c>
      <c r="E137" t="s">
        <v>127</v>
      </c>
      <c r="M137" t="s">
        <v>38</v>
      </c>
      <c r="N137" t="s">
        <v>126</v>
      </c>
    </row>
    <row r="138" spans="1:21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7</v>
      </c>
      <c r="I138" t="s">
        <v>8</v>
      </c>
      <c r="J138" t="s">
        <v>51</v>
      </c>
      <c r="L138" t="s">
        <v>0</v>
      </c>
      <c r="M138" t="s">
        <v>1</v>
      </c>
      <c r="N138" t="s">
        <v>2</v>
      </c>
      <c r="O138" t="s">
        <v>3</v>
      </c>
      <c r="P138" t="s">
        <v>4</v>
      </c>
      <c r="Q138" t="s">
        <v>5</v>
      </c>
      <c r="R138" t="s">
        <v>6</v>
      </c>
      <c r="S138" t="s">
        <v>7</v>
      </c>
      <c r="T138" t="s">
        <v>8</v>
      </c>
      <c r="U138" t="s">
        <v>51</v>
      </c>
    </row>
    <row r="139" spans="1:21">
      <c r="A139">
        <v>1</v>
      </c>
      <c r="B139" t="s">
        <v>9</v>
      </c>
      <c r="C139" t="s">
        <v>106</v>
      </c>
      <c r="D139">
        <v>13</v>
      </c>
      <c r="E139">
        <v>17</v>
      </c>
      <c r="F139">
        <v>1</v>
      </c>
      <c r="G139">
        <v>0</v>
      </c>
      <c r="H139">
        <v>1</v>
      </c>
      <c r="I139">
        <f>D139+E139+H139</f>
        <v>31</v>
      </c>
      <c r="J139" t="s">
        <v>50</v>
      </c>
      <c r="L139">
        <v>1</v>
      </c>
      <c r="M139" t="s">
        <v>9</v>
      </c>
      <c r="N139" t="s">
        <v>128</v>
      </c>
      <c r="O139">
        <v>28</v>
      </c>
      <c r="P139">
        <v>23</v>
      </c>
      <c r="Q139">
        <v>0</v>
      </c>
      <c r="R139">
        <v>5</v>
      </c>
      <c r="S139">
        <v>5</v>
      </c>
      <c r="T139">
        <f>O139+P139+S139</f>
        <v>56</v>
      </c>
      <c r="U139" t="s">
        <v>50</v>
      </c>
    </row>
    <row r="140" spans="1:21">
      <c r="A140">
        <v>2</v>
      </c>
      <c r="B140" t="s">
        <v>11</v>
      </c>
      <c r="C140" t="s">
        <v>107</v>
      </c>
      <c r="D140">
        <v>19</v>
      </c>
      <c r="E140">
        <v>5</v>
      </c>
      <c r="F140">
        <v>0</v>
      </c>
      <c r="G140">
        <v>0</v>
      </c>
      <c r="H140">
        <v>0</v>
      </c>
      <c r="I140">
        <f>D140+E140+H140</f>
        <v>24</v>
      </c>
      <c r="J140" t="s">
        <v>52</v>
      </c>
      <c r="L140">
        <v>2</v>
      </c>
      <c r="M140" t="s">
        <v>11</v>
      </c>
      <c r="N140" t="s">
        <v>129</v>
      </c>
      <c r="O140">
        <v>14</v>
      </c>
      <c r="P140">
        <v>5</v>
      </c>
      <c r="Q140">
        <v>0</v>
      </c>
      <c r="R140">
        <v>0</v>
      </c>
      <c r="S140">
        <v>0</v>
      </c>
      <c r="T140">
        <f>O140+P140+S140</f>
        <v>19</v>
      </c>
      <c r="U140" t="s">
        <v>52</v>
      </c>
    </row>
    <row r="141" spans="1:21">
      <c r="A141">
        <v>3</v>
      </c>
      <c r="B141" t="s">
        <v>12</v>
      </c>
      <c r="C141" t="s">
        <v>108</v>
      </c>
      <c r="D141">
        <v>27</v>
      </c>
      <c r="E141">
        <v>22</v>
      </c>
      <c r="F141">
        <v>0</v>
      </c>
      <c r="G141">
        <v>0</v>
      </c>
      <c r="H141">
        <v>0</v>
      </c>
      <c r="I141">
        <f>SUM(D141,E141,H141)</f>
        <v>49</v>
      </c>
      <c r="J141" t="s">
        <v>53</v>
      </c>
      <c r="L141">
        <v>3</v>
      </c>
      <c r="M141" t="s">
        <v>12</v>
      </c>
      <c r="N141" t="s">
        <v>130</v>
      </c>
      <c r="O141">
        <v>51</v>
      </c>
      <c r="P141">
        <v>39</v>
      </c>
      <c r="S141">
        <v>0</v>
      </c>
      <c r="T141">
        <f>SUM(O141,P141,S141)</f>
        <v>90</v>
      </c>
      <c r="U141" t="s">
        <v>53</v>
      </c>
    </row>
    <row r="142" spans="1:21">
      <c r="A142">
        <v>4</v>
      </c>
      <c r="B142" t="s">
        <v>13</v>
      </c>
      <c r="C142" t="s">
        <v>109</v>
      </c>
      <c r="D142">
        <v>39</v>
      </c>
      <c r="E142">
        <v>2</v>
      </c>
      <c r="H142">
        <v>2</v>
      </c>
      <c r="I142">
        <f t="shared" ref="I142:I158" si="15">D142+E142+H142</f>
        <v>43</v>
      </c>
      <c r="J142" t="s">
        <v>52</v>
      </c>
      <c r="L142">
        <v>4</v>
      </c>
      <c r="M142" t="s">
        <v>13</v>
      </c>
      <c r="N142" t="s">
        <v>131</v>
      </c>
      <c r="O142">
        <v>43</v>
      </c>
      <c r="P142">
        <v>8</v>
      </c>
      <c r="Q142">
        <v>0</v>
      </c>
      <c r="R142">
        <v>0</v>
      </c>
      <c r="S142">
        <v>0</v>
      </c>
      <c r="T142">
        <f t="shared" ref="T142:T156" si="16">O142+P142+S142</f>
        <v>51</v>
      </c>
      <c r="U142" t="s">
        <v>52</v>
      </c>
    </row>
    <row r="143" spans="1:21">
      <c r="A143">
        <v>5</v>
      </c>
      <c r="B143" t="s">
        <v>14</v>
      </c>
      <c r="C143" t="s">
        <v>110</v>
      </c>
      <c r="D143">
        <v>172</v>
      </c>
      <c r="E143">
        <v>153</v>
      </c>
      <c r="H143">
        <v>44</v>
      </c>
      <c r="I143">
        <f t="shared" si="15"/>
        <v>369</v>
      </c>
      <c r="J143" t="s">
        <v>54</v>
      </c>
      <c r="L143">
        <v>5</v>
      </c>
      <c r="M143" t="s">
        <v>14</v>
      </c>
      <c r="N143" t="s">
        <v>132</v>
      </c>
      <c r="O143">
        <v>107</v>
      </c>
      <c r="P143">
        <v>103</v>
      </c>
      <c r="S143">
        <v>5</v>
      </c>
      <c r="T143">
        <f t="shared" si="16"/>
        <v>215</v>
      </c>
      <c r="U143" t="s">
        <v>54</v>
      </c>
    </row>
    <row r="144" spans="1:21">
      <c r="A144">
        <v>6</v>
      </c>
      <c r="B144" t="s">
        <v>15</v>
      </c>
      <c r="C144" t="s">
        <v>111</v>
      </c>
      <c r="D144">
        <v>107</v>
      </c>
      <c r="E144">
        <v>83</v>
      </c>
      <c r="H144">
        <v>0</v>
      </c>
      <c r="I144">
        <f t="shared" si="15"/>
        <v>190</v>
      </c>
      <c r="J144" t="s">
        <v>55</v>
      </c>
      <c r="L144">
        <v>6</v>
      </c>
      <c r="M144" t="s">
        <v>15</v>
      </c>
      <c r="N144" t="s">
        <v>133</v>
      </c>
      <c r="O144">
        <v>183</v>
      </c>
      <c r="P144">
        <v>103</v>
      </c>
      <c r="S144">
        <v>0</v>
      </c>
      <c r="T144">
        <f t="shared" si="16"/>
        <v>286</v>
      </c>
      <c r="U144" t="s">
        <v>55</v>
      </c>
    </row>
    <row r="145" spans="1:21">
      <c r="A145">
        <v>7</v>
      </c>
      <c r="B145" t="s">
        <v>16</v>
      </c>
      <c r="C145" t="s">
        <v>112</v>
      </c>
      <c r="D145">
        <v>0</v>
      </c>
      <c r="E145">
        <v>0</v>
      </c>
      <c r="I145">
        <f t="shared" si="15"/>
        <v>0</v>
      </c>
      <c r="J145" t="s">
        <v>52</v>
      </c>
      <c r="L145">
        <v>7</v>
      </c>
      <c r="M145" t="s">
        <v>16</v>
      </c>
      <c r="N145" t="s">
        <v>134</v>
      </c>
      <c r="O145">
        <v>0</v>
      </c>
      <c r="P145">
        <v>0</v>
      </c>
      <c r="T145">
        <f t="shared" si="16"/>
        <v>0</v>
      </c>
      <c r="U145" t="s">
        <v>52</v>
      </c>
    </row>
    <row r="146" spans="1:21">
      <c r="A146">
        <v>8</v>
      </c>
      <c r="B146" t="s">
        <v>17</v>
      </c>
      <c r="C146" t="s">
        <v>113</v>
      </c>
      <c r="D146">
        <v>27</v>
      </c>
      <c r="E146">
        <v>11</v>
      </c>
      <c r="G146">
        <v>0</v>
      </c>
      <c r="H146">
        <v>0</v>
      </c>
      <c r="I146">
        <f t="shared" si="15"/>
        <v>38</v>
      </c>
      <c r="J146" t="s">
        <v>50</v>
      </c>
      <c r="L146">
        <v>8</v>
      </c>
      <c r="M146" t="s">
        <v>17</v>
      </c>
      <c r="N146" t="s">
        <v>135</v>
      </c>
      <c r="O146">
        <v>23</v>
      </c>
      <c r="P146">
        <v>11</v>
      </c>
      <c r="Q146">
        <v>0</v>
      </c>
      <c r="R146">
        <v>3</v>
      </c>
      <c r="S146">
        <v>3</v>
      </c>
      <c r="T146">
        <f t="shared" si="16"/>
        <v>37</v>
      </c>
      <c r="U146" t="s">
        <v>50</v>
      </c>
    </row>
    <row r="147" spans="1:21">
      <c r="A147">
        <v>9</v>
      </c>
      <c r="B147" t="s">
        <v>18</v>
      </c>
      <c r="C147" t="s">
        <v>114</v>
      </c>
      <c r="D147">
        <v>55</v>
      </c>
      <c r="E147">
        <v>15</v>
      </c>
      <c r="H147">
        <v>5</v>
      </c>
      <c r="I147">
        <f t="shared" si="15"/>
        <v>75</v>
      </c>
      <c r="J147" t="s">
        <v>56</v>
      </c>
      <c r="L147">
        <v>9</v>
      </c>
      <c r="M147" t="s">
        <v>18</v>
      </c>
      <c r="N147" t="s">
        <v>136</v>
      </c>
      <c r="O147">
        <v>51</v>
      </c>
      <c r="P147">
        <v>11</v>
      </c>
      <c r="S147">
        <v>4</v>
      </c>
      <c r="T147">
        <f t="shared" si="16"/>
        <v>66</v>
      </c>
      <c r="U147" t="s">
        <v>56</v>
      </c>
    </row>
    <row r="148" spans="1:21">
      <c r="A148">
        <v>10</v>
      </c>
      <c r="B148" t="s">
        <v>19</v>
      </c>
      <c r="C148" t="s">
        <v>115</v>
      </c>
      <c r="D148">
        <v>123</v>
      </c>
      <c r="E148">
        <v>59</v>
      </c>
      <c r="H148">
        <v>16</v>
      </c>
      <c r="I148">
        <f t="shared" si="15"/>
        <v>198</v>
      </c>
      <c r="J148" t="s">
        <v>53</v>
      </c>
      <c r="L148">
        <v>10</v>
      </c>
      <c r="M148" t="s">
        <v>19</v>
      </c>
      <c r="N148" t="s">
        <v>137</v>
      </c>
      <c r="O148">
        <v>87</v>
      </c>
      <c r="P148">
        <v>69</v>
      </c>
      <c r="S148">
        <v>26</v>
      </c>
      <c r="T148">
        <f t="shared" si="16"/>
        <v>182</v>
      </c>
      <c r="U148" t="s">
        <v>53</v>
      </c>
    </row>
    <row r="149" spans="1:21">
      <c r="A149">
        <v>11</v>
      </c>
      <c r="B149" t="s">
        <v>25</v>
      </c>
      <c r="C149" t="s">
        <v>116</v>
      </c>
      <c r="D149">
        <v>7</v>
      </c>
      <c r="E149">
        <v>2</v>
      </c>
      <c r="F149">
        <v>7</v>
      </c>
      <c r="G149">
        <v>3</v>
      </c>
      <c r="H149">
        <v>10</v>
      </c>
      <c r="I149">
        <f t="shared" si="15"/>
        <v>19</v>
      </c>
      <c r="J149" t="s">
        <v>54</v>
      </c>
      <c r="L149">
        <v>11</v>
      </c>
      <c r="M149" t="s">
        <v>25</v>
      </c>
      <c r="N149" t="s">
        <v>138</v>
      </c>
      <c r="O149">
        <v>11</v>
      </c>
      <c r="P149">
        <v>5</v>
      </c>
      <c r="S149">
        <v>2</v>
      </c>
      <c r="T149">
        <f t="shared" si="16"/>
        <v>18</v>
      </c>
      <c r="U149" t="s">
        <v>54</v>
      </c>
    </row>
    <row r="150" spans="1:21">
      <c r="A150">
        <v>12</v>
      </c>
      <c r="B150" t="s">
        <v>27</v>
      </c>
      <c r="C150" t="s">
        <v>117</v>
      </c>
      <c r="D150">
        <v>201</v>
      </c>
      <c r="E150">
        <v>192</v>
      </c>
      <c r="F150">
        <v>21</v>
      </c>
      <c r="G150">
        <v>19</v>
      </c>
      <c r="H150">
        <v>40</v>
      </c>
      <c r="I150">
        <f t="shared" si="15"/>
        <v>433</v>
      </c>
      <c r="J150" t="s">
        <v>56</v>
      </c>
      <c r="L150">
        <v>12</v>
      </c>
      <c r="M150" t="s">
        <v>27</v>
      </c>
      <c r="N150" t="s">
        <v>139</v>
      </c>
      <c r="O150">
        <v>205</v>
      </c>
      <c r="P150">
        <v>230</v>
      </c>
      <c r="Q150">
        <v>20</v>
      </c>
      <c r="R150">
        <v>25</v>
      </c>
      <c r="S150">
        <v>45</v>
      </c>
      <c r="T150">
        <f t="shared" si="16"/>
        <v>480</v>
      </c>
      <c r="U150" t="s">
        <v>56</v>
      </c>
    </row>
    <row r="151" spans="1:21">
      <c r="A151">
        <v>13</v>
      </c>
      <c r="B151" t="s">
        <v>20</v>
      </c>
      <c r="C151" t="s">
        <v>118</v>
      </c>
      <c r="D151">
        <v>0</v>
      </c>
      <c r="E151">
        <v>0</v>
      </c>
      <c r="I151">
        <f t="shared" si="15"/>
        <v>0</v>
      </c>
      <c r="J151" t="s">
        <v>57</v>
      </c>
      <c r="L151">
        <v>13</v>
      </c>
      <c r="M151" t="s">
        <v>20</v>
      </c>
      <c r="N151" t="s">
        <v>140</v>
      </c>
      <c r="O151">
        <v>132</v>
      </c>
      <c r="P151">
        <v>101</v>
      </c>
      <c r="Q151">
        <v>3</v>
      </c>
      <c r="R151">
        <v>7</v>
      </c>
      <c r="S151">
        <v>10</v>
      </c>
      <c r="T151">
        <f t="shared" si="16"/>
        <v>243</v>
      </c>
      <c r="U151" t="s">
        <v>57</v>
      </c>
    </row>
    <row r="152" spans="1:21">
      <c r="A152">
        <v>14</v>
      </c>
      <c r="B152" t="s">
        <v>32</v>
      </c>
      <c r="C152" t="s">
        <v>119</v>
      </c>
      <c r="D152">
        <v>0</v>
      </c>
      <c r="E152">
        <v>0</v>
      </c>
      <c r="I152">
        <f t="shared" si="15"/>
        <v>0</v>
      </c>
      <c r="J152" t="s">
        <v>50</v>
      </c>
      <c r="L152">
        <v>14</v>
      </c>
      <c r="M152" t="s">
        <v>32</v>
      </c>
      <c r="N152" t="s">
        <v>141</v>
      </c>
      <c r="O152">
        <v>20</v>
      </c>
      <c r="P152">
        <v>24</v>
      </c>
      <c r="Q152">
        <v>4</v>
      </c>
      <c r="R152">
        <v>1</v>
      </c>
      <c r="S152">
        <v>5</v>
      </c>
      <c r="T152">
        <f t="shared" si="16"/>
        <v>49</v>
      </c>
      <c r="U152" t="s">
        <v>50</v>
      </c>
    </row>
    <row r="153" spans="1:21">
      <c r="A153">
        <v>15</v>
      </c>
      <c r="B153" t="s">
        <v>48</v>
      </c>
      <c r="C153" t="s">
        <v>120</v>
      </c>
      <c r="D153">
        <v>0</v>
      </c>
      <c r="E153">
        <v>0</v>
      </c>
      <c r="I153">
        <f t="shared" si="15"/>
        <v>0</v>
      </c>
      <c r="J153" t="s">
        <v>59</v>
      </c>
      <c r="L153">
        <v>15</v>
      </c>
      <c r="M153" t="s">
        <v>48</v>
      </c>
      <c r="N153" t="s">
        <v>142</v>
      </c>
      <c r="O153">
        <v>0</v>
      </c>
      <c r="P153">
        <v>0</v>
      </c>
      <c r="T153">
        <f t="shared" si="16"/>
        <v>0</v>
      </c>
      <c r="U153" t="s">
        <v>59</v>
      </c>
    </row>
    <row r="154" spans="1:21">
      <c r="A154">
        <v>16</v>
      </c>
      <c r="B154" t="s">
        <v>37</v>
      </c>
      <c r="C154" t="s">
        <v>121</v>
      </c>
      <c r="D154">
        <v>16</v>
      </c>
      <c r="E154">
        <v>5</v>
      </c>
      <c r="F154">
        <v>1</v>
      </c>
      <c r="G154">
        <v>0</v>
      </c>
      <c r="H154">
        <v>1</v>
      </c>
      <c r="I154">
        <f t="shared" si="15"/>
        <v>22</v>
      </c>
      <c r="J154" t="s">
        <v>55</v>
      </c>
      <c r="L154">
        <v>16</v>
      </c>
      <c r="M154" t="s">
        <v>37</v>
      </c>
      <c r="N154" t="s">
        <v>143</v>
      </c>
      <c r="O154">
        <v>0</v>
      </c>
      <c r="P154">
        <v>0</v>
      </c>
      <c r="T154">
        <f t="shared" si="16"/>
        <v>0</v>
      </c>
      <c r="U154" t="s">
        <v>55</v>
      </c>
    </row>
    <row r="155" spans="1:21">
      <c r="A155">
        <v>17</v>
      </c>
      <c r="B155" t="s">
        <v>49</v>
      </c>
      <c r="C155" t="s">
        <v>122</v>
      </c>
      <c r="D155">
        <v>0</v>
      </c>
      <c r="E155">
        <v>0</v>
      </c>
      <c r="I155">
        <f t="shared" si="15"/>
        <v>0</v>
      </c>
      <c r="J155" t="s">
        <v>59</v>
      </c>
      <c r="L155">
        <v>17</v>
      </c>
      <c r="M155" t="s">
        <v>49</v>
      </c>
      <c r="N155" t="s">
        <v>144</v>
      </c>
      <c r="O155">
        <v>0</v>
      </c>
      <c r="P155">
        <v>0</v>
      </c>
      <c r="T155">
        <f t="shared" si="16"/>
        <v>0</v>
      </c>
      <c r="U155" t="s">
        <v>59</v>
      </c>
    </row>
    <row r="156" spans="1:21">
      <c r="A156">
        <v>18</v>
      </c>
      <c r="B156" t="s">
        <v>21</v>
      </c>
      <c r="C156" t="s">
        <v>123</v>
      </c>
      <c r="D156">
        <v>0</v>
      </c>
      <c r="E156">
        <v>0</v>
      </c>
      <c r="I156">
        <f t="shared" si="15"/>
        <v>0</v>
      </c>
      <c r="J156" t="s">
        <v>59</v>
      </c>
      <c r="L156">
        <v>18</v>
      </c>
      <c r="M156" t="s">
        <v>21</v>
      </c>
      <c r="N156" t="s">
        <v>145</v>
      </c>
      <c r="O156">
        <v>0</v>
      </c>
      <c r="P156">
        <v>0</v>
      </c>
      <c r="T156">
        <f t="shared" si="16"/>
        <v>0</v>
      </c>
      <c r="U156" t="s">
        <v>59</v>
      </c>
    </row>
    <row r="157" spans="1:21">
      <c r="B157" t="s">
        <v>104</v>
      </c>
      <c r="C157" t="s">
        <v>124</v>
      </c>
      <c r="D157">
        <v>6</v>
      </c>
      <c r="E157">
        <v>0</v>
      </c>
      <c r="F157">
        <v>0</v>
      </c>
      <c r="G157">
        <v>0</v>
      </c>
      <c r="H157">
        <v>0</v>
      </c>
      <c r="I157">
        <f>D157+E157+H157</f>
        <v>6</v>
      </c>
      <c r="M157" t="s">
        <v>104</v>
      </c>
      <c r="N157" t="s">
        <v>146</v>
      </c>
      <c r="O157">
        <v>0</v>
      </c>
      <c r="P157">
        <v>0</v>
      </c>
      <c r="T157">
        <f>O157+P157+S157</f>
        <v>0</v>
      </c>
    </row>
    <row r="158" spans="1:21">
      <c r="A158">
        <v>19</v>
      </c>
      <c r="B158" t="s">
        <v>26</v>
      </c>
      <c r="C158" t="s">
        <v>125</v>
      </c>
      <c r="D158">
        <v>0</v>
      </c>
      <c r="E158">
        <v>0</v>
      </c>
      <c r="I158">
        <f t="shared" si="15"/>
        <v>0</v>
      </c>
      <c r="J158" t="s">
        <v>54</v>
      </c>
      <c r="L158">
        <v>19</v>
      </c>
      <c r="M158" t="s">
        <v>26</v>
      </c>
      <c r="N158" t="s">
        <v>147</v>
      </c>
      <c r="O158">
        <v>0</v>
      </c>
      <c r="P158">
        <v>0</v>
      </c>
      <c r="T158">
        <f t="shared" ref="T158" si="17">O158+P158+S158</f>
        <v>0</v>
      </c>
      <c r="U158" t="s">
        <v>54</v>
      </c>
    </row>
    <row r="159" spans="1:21">
      <c r="B159" t="s">
        <v>8</v>
      </c>
      <c r="D159">
        <f>SUM(D139:D158)</f>
        <v>812</v>
      </c>
      <c r="E159">
        <f>SUM(E139:E158)</f>
        <v>566</v>
      </c>
      <c r="I159">
        <f>I139+I140+I141+I142+I143+I144+I145+I146+I147+I148+I149+I150+I151+I152+I153+I154+I155+I156+I36+I158</f>
        <v>1560</v>
      </c>
      <c r="M159" t="s">
        <v>8</v>
      </c>
      <c r="O159">
        <f>SUM(O139:O158)</f>
        <v>955</v>
      </c>
      <c r="P159">
        <f>SUM(P139:P158)</f>
        <v>732</v>
      </c>
      <c r="T159">
        <f>T139+T140+T141+T142+T143+T144+T145+T146+T147+T148+T149+T150+T151+T152+T153+T154+T156+T155+T157+T158</f>
        <v>1792</v>
      </c>
    </row>
    <row r="162" spans="1:21">
      <c r="B162" t="s">
        <v>38</v>
      </c>
      <c r="C162" t="s">
        <v>148</v>
      </c>
      <c r="M162" t="s">
        <v>38</v>
      </c>
      <c r="N162" t="s">
        <v>169</v>
      </c>
      <c r="Q162" t="s">
        <v>192</v>
      </c>
    </row>
    <row r="163" spans="1:21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7</v>
      </c>
      <c r="I163" t="s">
        <v>8</v>
      </c>
      <c r="J163" t="s">
        <v>51</v>
      </c>
      <c r="L163" t="s">
        <v>0</v>
      </c>
      <c r="M163" t="s">
        <v>1</v>
      </c>
      <c r="N163" t="s">
        <v>2</v>
      </c>
      <c r="O163" t="s">
        <v>3</v>
      </c>
      <c r="P163" t="s">
        <v>4</v>
      </c>
      <c r="Q163" t="s">
        <v>5</v>
      </c>
      <c r="R163" t="s">
        <v>6</v>
      </c>
      <c r="S163" t="s">
        <v>7</v>
      </c>
      <c r="T163" t="s">
        <v>8</v>
      </c>
      <c r="U163" t="s">
        <v>51</v>
      </c>
    </row>
    <row r="164" spans="1:21">
      <c r="A164">
        <v>1</v>
      </c>
      <c r="B164" t="s">
        <v>9</v>
      </c>
      <c r="C164" t="s">
        <v>149</v>
      </c>
      <c r="D164">
        <v>24</v>
      </c>
      <c r="E164">
        <v>22</v>
      </c>
      <c r="F164">
        <v>9</v>
      </c>
      <c r="G164">
        <v>6</v>
      </c>
      <c r="H164">
        <v>15</v>
      </c>
      <c r="I164">
        <f>D164+E164+H164</f>
        <v>61</v>
      </c>
      <c r="J164" t="s">
        <v>50</v>
      </c>
      <c r="L164">
        <v>1</v>
      </c>
      <c r="M164" t="s">
        <v>9</v>
      </c>
      <c r="N164" t="s">
        <v>170</v>
      </c>
      <c r="O164">
        <v>38</v>
      </c>
      <c r="P164">
        <v>45</v>
      </c>
      <c r="Q164">
        <v>11</v>
      </c>
      <c r="R164">
        <v>12</v>
      </c>
      <c r="S164">
        <v>23</v>
      </c>
      <c r="T164">
        <f>O164+P164+S164</f>
        <v>106</v>
      </c>
      <c r="U164" t="s">
        <v>50</v>
      </c>
    </row>
    <row r="165" spans="1:21">
      <c r="A165">
        <v>2</v>
      </c>
      <c r="B165" t="s">
        <v>11</v>
      </c>
      <c r="C165" t="s">
        <v>150</v>
      </c>
      <c r="D165">
        <v>17</v>
      </c>
      <c r="E165">
        <v>5</v>
      </c>
      <c r="H165">
        <v>0</v>
      </c>
      <c r="I165">
        <f>D165+E165+H165</f>
        <v>22</v>
      </c>
      <c r="J165" t="s">
        <v>52</v>
      </c>
      <c r="L165">
        <v>2</v>
      </c>
      <c r="M165" t="s">
        <v>11</v>
      </c>
      <c r="N165" t="s">
        <v>171</v>
      </c>
      <c r="O165">
        <v>24</v>
      </c>
      <c r="P165">
        <v>23</v>
      </c>
      <c r="S165">
        <v>0</v>
      </c>
      <c r="T165">
        <f>O165+P165+S165</f>
        <v>47</v>
      </c>
      <c r="U165" t="s">
        <v>52</v>
      </c>
    </row>
    <row r="166" spans="1:21">
      <c r="A166">
        <v>3</v>
      </c>
      <c r="B166" t="s">
        <v>12</v>
      </c>
      <c r="C166" t="s">
        <v>151</v>
      </c>
      <c r="D166">
        <v>72</v>
      </c>
      <c r="E166">
        <v>53</v>
      </c>
      <c r="H166">
        <v>0</v>
      </c>
      <c r="I166">
        <f>SUM(D166,E166,H166)</f>
        <v>125</v>
      </c>
      <c r="J166" t="s">
        <v>53</v>
      </c>
      <c r="L166">
        <v>3</v>
      </c>
      <c r="M166" t="s">
        <v>12</v>
      </c>
      <c r="N166" t="s">
        <v>172</v>
      </c>
      <c r="O166">
        <v>83</v>
      </c>
      <c r="P166">
        <v>50</v>
      </c>
      <c r="T166">
        <f>SUM(O166,P166,S166)</f>
        <v>133</v>
      </c>
      <c r="U166" t="s">
        <v>53</v>
      </c>
    </row>
    <row r="167" spans="1:21">
      <c r="A167">
        <v>4</v>
      </c>
      <c r="B167" t="s">
        <v>13</v>
      </c>
      <c r="C167" t="s">
        <v>152</v>
      </c>
      <c r="D167">
        <v>25</v>
      </c>
      <c r="E167">
        <v>12</v>
      </c>
      <c r="H167">
        <v>4</v>
      </c>
      <c r="I167">
        <f t="shared" ref="I167:I181" si="18">D167+E167+H167</f>
        <v>41</v>
      </c>
      <c r="J167" t="s">
        <v>52</v>
      </c>
      <c r="L167">
        <v>4</v>
      </c>
      <c r="M167" t="s">
        <v>13</v>
      </c>
      <c r="N167" t="s">
        <v>173</v>
      </c>
      <c r="O167">
        <v>39</v>
      </c>
      <c r="P167">
        <v>10</v>
      </c>
      <c r="S167">
        <v>8</v>
      </c>
      <c r="T167">
        <f t="shared" ref="T167:T181" si="19">O167+P167+S167</f>
        <v>57</v>
      </c>
      <c r="U167" t="s">
        <v>52</v>
      </c>
    </row>
    <row r="168" spans="1:21">
      <c r="A168">
        <v>5</v>
      </c>
      <c r="B168" t="s">
        <v>14</v>
      </c>
      <c r="C168" t="s">
        <v>153</v>
      </c>
      <c r="D168">
        <v>0</v>
      </c>
      <c r="E168">
        <v>0</v>
      </c>
      <c r="I168">
        <f t="shared" si="18"/>
        <v>0</v>
      </c>
      <c r="J168" t="s">
        <v>54</v>
      </c>
      <c r="L168">
        <v>5</v>
      </c>
      <c r="M168" t="s">
        <v>14</v>
      </c>
      <c r="N168" t="s">
        <v>174</v>
      </c>
      <c r="O168">
        <v>71</v>
      </c>
      <c r="P168">
        <v>102</v>
      </c>
      <c r="S168">
        <v>23</v>
      </c>
      <c r="T168">
        <f t="shared" si="19"/>
        <v>196</v>
      </c>
      <c r="U168" t="s">
        <v>54</v>
      </c>
    </row>
    <row r="169" spans="1:21">
      <c r="A169">
        <v>6</v>
      </c>
      <c r="B169" t="s">
        <v>15</v>
      </c>
      <c r="C169" t="s">
        <v>154</v>
      </c>
      <c r="D169">
        <v>0</v>
      </c>
      <c r="E169">
        <v>0</v>
      </c>
      <c r="I169">
        <f t="shared" si="18"/>
        <v>0</v>
      </c>
      <c r="J169" t="s">
        <v>55</v>
      </c>
      <c r="L169">
        <v>6</v>
      </c>
      <c r="M169" t="s">
        <v>15</v>
      </c>
      <c r="N169" t="s">
        <v>175</v>
      </c>
      <c r="O169">
        <v>109</v>
      </c>
      <c r="P169">
        <v>92</v>
      </c>
      <c r="S169">
        <v>0</v>
      </c>
      <c r="T169">
        <f t="shared" si="19"/>
        <v>201</v>
      </c>
      <c r="U169" t="s">
        <v>55</v>
      </c>
    </row>
    <row r="170" spans="1:21">
      <c r="A170">
        <v>7</v>
      </c>
      <c r="B170" t="s">
        <v>16</v>
      </c>
      <c r="C170" t="s">
        <v>155</v>
      </c>
      <c r="D170">
        <v>0</v>
      </c>
      <c r="E170">
        <v>0</v>
      </c>
      <c r="I170">
        <f t="shared" si="18"/>
        <v>0</v>
      </c>
      <c r="J170" t="s">
        <v>52</v>
      </c>
      <c r="L170">
        <v>7</v>
      </c>
      <c r="M170" t="s">
        <v>16</v>
      </c>
      <c r="N170" t="s">
        <v>176</v>
      </c>
      <c r="O170">
        <v>0</v>
      </c>
      <c r="P170">
        <v>0</v>
      </c>
      <c r="T170">
        <f t="shared" si="19"/>
        <v>0</v>
      </c>
      <c r="U170" t="s">
        <v>52</v>
      </c>
    </row>
    <row r="171" spans="1:21">
      <c r="A171">
        <v>8</v>
      </c>
      <c r="B171" t="s">
        <v>17</v>
      </c>
      <c r="C171" t="s">
        <v>156</v>
      </c>
      <c r="D171">
        <v>0</v>
      </c>
      <c r="E171">
        <v>0</v>
      </c>
      <c r="I171">
        <f t="shared" si="18"/>
        <v>0</v>
      </c>
      <c r="J171" t="s">
        <v>50</v>
      </c>
      <c r="L171">
        <v>8</v>
      </c>
      <c r="M171" t="s">
        <v>17</v>
      </c>
      <c r="N171" t="s">
        <v>177</v>
      </c>
      <c r="O171">
        <v>14</v>
      </c>
      <c r="P171">
        <v>12</v>
      </c>
      <c r="Q171">
        <v>0</v>
      </c>
      <c r="R171">
        <v>0</v>
      </c>
      <c r="S171">
        <v>0</v>
      </c>
      <c r="T171">
        <f t="shared" si="19"/>
        <v>26</v>
      </c>
      <c r="U171" t="s">
        <v>50</v>
      </c>
    </row>
    <row r="172" spans="1:21">
      <c r="A172">
        <v>9</v>
      </c>
      <c r="B172" t="s">
        <v>18</v>
      </c>
      <c r="C172" t="s">
        <v>157</v>
      </c>
      <c r="D172">
        <v>30</v>
      </c>
      <c r="E172">
        <v>17</v>
      </c>
      <c r="H172">
        <v>9</v>
      </c>
      <c r="I172">
        <f t="shared" si="18"/>
        <v>56</v>
      </c>
      <c r="J172" t="s">
        <v>56</v>
      </c>
      <c r="L172">
        <v>9</v>
      </c>
      <c r="M172" t="s">
        <v>18</v>
      </c>
      <c r="N172" t="s">
        <v>178</v>
      </c>
      <c r="O172">
        <v>33</v>
      </c>
      <c r="P172">
        <v>19</v>
      </c>
      <c r="S172">
        <v>11</v>
      </c>
      <c r="T172">
        <f t="shared" si="19"/>
        <v>63</v>
      </c>
      <c r="U172" t="s">
        <v>56</v>
      </c>
    </row>
    <row r="173" spans="1:21">
      <c r="A173">
        <v>10</v>
      </c>
      <c r="B173" t="s">
        <v>19</v>
      </c>
      <c r="C173" t="s">
        <v>158</v>
      </c>
      <c r="D173">
        <v>0</v>
      </c>
      <c r="E173">
        <v>0</v>
      </c>
      <c r="I173">
        <f t="shared" si="18"/>
        <v>0</v>
      </c>
      <c r="J173" t="s">
        <v>53</v>
      </c>
      <c r="L173">
        <v>10</v>
      </c>
      <c r="M173" t="s">
        <v>19</v>
      </c>
      <c r="N173" t="s">
        <v>179</v>
      </c>
      <c r="O173">
        <v>115</v>
      </c>
      <c r="P173">
        <v>112</v>
      </c>
      <c r="S173">
        <v>52</v>
      </c>
      <c r="T173">
        <f t="shared" si="19"/>
        <v>279</v>
      </c>
      <c r="U173" t="s">
        <v>53</v>
      </c>
    </row>
    <row r="174" spans="1:21">
      <c r="A174">
        <v>11</v>
      </c>
      <c r="B174" t="s">
        <v>25</v>
      </c>
      <c r="C174" t="s">
        <v>159</v>
      </c>
      <c r="D174">
        <v>6</v>
      </c>
      <c r="E174">
        <v>2</v>
      </c>
      <c r="F174">
        <v>1</v>
      </c>
      <c r="G174">
        <v>2</v>
      </c>
      <c r="H174">
        <v>3</v>
      </c>
      <c r="I174">
        <f t="shared" si="18"/>
        <v>11</v>
      </c>
      <c r="J174" t="s">
        <v>54</v>
      </c>
      <c r="L174">
        <v>11</v>
      </c>
      <c r="M174" t="s">
        <v>25</v>
      </c>
      <c r="N174" t="s">
        <v>180</v>
      </c>
      <c r="O174">
        <v>11</v>
      </c>
      <c r="P174">
        <v>7</v>
      </c>
      <c r="Q174">
        <v>4</v>
      </c>
      <c r="R174">
        <v>7</v>
      </c>
      <c r="S174">
        <v>11</v>
      </c>
      <c r="T174">
        <f t="shared" si="19"/>
        <v>29</v>
      </c>
      <c r="U174" t="s">
        <v>54</v>
      </c>
    </row>
    <row r="175" spans="1:21">
      <c r="A175">
        <v>12</v>
      </c>
      <c r="B175" t="s">
        <v>27</v>
      </c>
      <c r="C175" t="s">
        <v>160</v>
      </c>
      <c r="D175">
        <v>205</v>
      </c>
      <c r="E175">
        <v>210</v>
      </c>
      <c r="F175">
        <v>18</v>
      </c>
      <c r="G175">
        <v>20</v>
      </c>
      <c r="H175">
        <v>38</v>
      </c>
      <c r="I175">
        <f t="shared" si="18"/>
        <v>453</v>
      </c>
      <c r="J175" t="s">
        <v>56</v>
      </c>
      <c r="L175">
        <v>12</v>
      </c>
      <c r="M175" t="s">
        <v>27</v>
      </c>
      <c r="N175" t="s">
        <v>181</v>
      </c>
      <c r="O175">
        <v>214</v>
      </c>
      <c r="P175">
        <v>222</v>
      </c>
      <c r="Q175">
        <v>22</v>
      </c>
      <c r="R175">
        <v>21</v>
      </c>
      <c r="S175">
        <v>43</v>
      </c>
      <c r="T175">
        <f t="shared" si="19"/>
        <v>479</v>
      </c>
      <c r="U175" t="s">
        <v>56</v>
      </c>
    </row>
    <row r="176" spans="1:21">
      <c r="A176">
        <v>13</v>
      </c>
      <c r="B176" t="s">
        <v>20</v>
      </c>
      <c r="C176" t="s">
        <v>161</v>
      </c>
      <c r="D176">
        <v>0</v>
      </c>
      <c r="E176">
        <v>0</v>
      </c>
      <c r="I176">
        <f t="shared" si="18"/>
        <v>0</v>
      </c>
      <c r="J176" t="s">
        <v>57</v>
      </c>
      <c r="L176">
        <v>13</v>
      </c>
      <c r="M176" t="s">
        <v>20</v>
      </c>
      <c r="N176" t="s">
        <v>182</v>
      </c>
      <c r="O176">
        <v>120</v>
      </c>
      <c r="P176">
        <v>142</v>
      </c>
      <c r="Q176">
        <v>12</v>
      </c>
      <c r="R176">
        <v>15</v>
      </c>
      <c r="S176">
        <v>27</v>
      </c>
      <c r="T176">
        <f t="shared" si="19"/>
        <v>289</v>
      </c>
      <c r="U176" t="s">
        <v>57</v>
      </c>
    </row>
    <row r="177" spans="1:21">
      <c r="A177">
        <v>14</v>
      </c>
      <c r="B177" t="s">
        <v>32</v>
      </c>
      <c r="C177" t="s">
        <v>162</v>
      </c>
      <c r="D177">
        <v>34</v>
      </c>
      <c r="E177">
        <v>119</v>
      </c>
      <c r="F177">
        <v>12</v>
      </c>
      <c r="G177">
        <v>11</v>
      </c>
      <c r="H177">
        <v>23</v>
      </c>
      <c r="I177">
        <f t="shared" si="18"/>
        <v>176</v>
      </c>
      <c r="J177" t="s">
        <v>50</v>
      </c>
      <c r="L177">
        <v>14</v>
      </c>
      <c r="M177" t="s">
        <v>32</v>
      </c>
      <c r="N177" t="s">
        <v>183</v>
      </c>
      <c r="O177">
        <v>23</v>
      </c>
      <c r="P177">
        <v>0</v>
      </c>
      <c r="S177">
        <v>4</v>
      </c>
      <c r="T177">
        <f t="shared" si="19"/>
        <v>27</v>
      </c>
      <c r="U177" t="s">
        <v>50</v>
      </c>
    </row>
    <row r="178" spans="1:21">
      <c r="A178">
        <v>15</v>
      </c>
      <c r="B178" t="s">
        <v>48</v>
      </c>
      <c r="C178" t="s">
        <v>163</v>
      </c>
      <c r="D178">
        <v>0</v>
      </c>
      <c r="E178">
        <v>0</v>
      </c>
      <c r="I178">
        <f t="shared" si="18"/>
        <v>0</v>
      </c>
      <c r="J178" t="s">
        <v>59</v>
      </c>
      <c r="L178">
        <v>15</v>
      </c>
      <c r="M178" t="s">
        <v>48</v>
      </c>
      <c r="N178" t="s">
        <v>184</v>
      </c>
      <c r="O178">
        <v>0</v>
      </c>
      <c r="P178">
        <v>0</v>
      </c>
      <c r="T178">
        <f t="shared" si="19"/>
        <v>0</v>
      </c>
      <c r="U178" t="s">
        <v>59</v>
      </c>
    </row>
    <row r="179" spans="1:21">
      <c r="A179">
        <v>16</v>
      </c>
      <c r="B179" t="s">
        <v>37</v>
      </c>
      <c r="C179" t="s">
        <v>164</v>
      </c>
      <c r="D179">
        <v>0</v>
      </c>
      <c r="E179">
        <v>0</v>
      </c>
      <c r="I179">
        <f t="shared" si="18"/>
        <v>0</v>
      </c>
      <c r="J179" t="s">
        <v>55</v>
      </c>
      <c r="L179">
        <v>16</v>
      </c>
      <c r="M179" t="s">
        <v>37</v>
      </c>
      <c r="N179" t="s">
        <v>185</v>
      </c>
      <c r="O179">
        <v>0</v>
      </c>
      <c r="P179">
        <v>0</v>
      </c>
      <c r="T179">
        <f t="shared" si="19"/>
        <v>0</v>
      </c>
      <c r="U179" t="s">
        <v>55</v>
      </c>
    </row>
    <row r="180" spans="1:21">
      <c r="A180">
        <v>17</v>
      </c>
      <c r="B180" t="s">
        <v>49</v>
      </c>
      <c r="C180" t="s">
        <v>165</v>
      </c>
      <c r="D180">
        <v>0</v>
      </c>
      <c r="E180">
        <v>0</v>
      </c>
      <c r="I180">
        <f t="shared" si="18"/>
        <v>0</v>
      </c>
      <c r="J180" t="s">
        <v>59</v>
      </c>
      <c r="L180">
        <v>17</v>
      </c>
      <c r="M180" t="s">
        <v>49</v>
      </c>
      <c r="N180" t="s">
        <v>186</v>
      </c>
      <c r="O180">
        <v>0</v>
      </c>
      <c r="P180">
        <v>0</v>
      </c>
      <c r="T180">
        <f t="shared" si="19"/>
        <v>0</v>
      </c>
      <c r="U180" t="s">
        <v>59</v>
      </c>
    </row>
    <row r="181" spans="1:21">
      <c r="A181">
        <v>18</v>
      </c>
      <c r="B181" t="s">
        <v>21</v>
      </c>
      <c r="C181" t="s">
        <v>166</v>
      </c>
      <c r="D181">
        <v>0</v>
      </c>
      <c r="E181">
        <v>0</v>
      </c>
      <c r="I181">
        <f t="shared" si="18"/>
        <v>0</v>
      </c>
      <c r="J181" t="s">
        <v>59</v>
      </c>
      <c r="L181">
        <v>18</v>
      </c>
      <c r="M181" t="s">
        <v>21</v>
      </c>
      <c r="N181" t="s">
        <v>187</v>
      </c>
      <c r="O181">
        <v>0</v>
      </c>
      <c r="P181">
        <v>0</v>
      </c>
      <c r="T181">
        <f t="shared" si="19"/>
        <v>0</v>
      </c>
      <c r="U181" t="s">
        <v>59</v>
      </c>
    </row>
    <row r="182" spans="1:21">
      <c r="B182" t="s">
        <v>104</v>
      </c>
      <c r="C182" t="s">
        <v>167</v>
      </c>
      <c r="D182">
        <v>0</v>
      </c>
      <c r="E182">
        <v>0</v>
      </c>
      <c r="I182">
        <f>D182+E182+H182</f>
        <v>0</v>
      </c>
      <c r="M182" t="s">
        <v>104</v>
      </c>
      <c r="N182" t="s">
        <v>188</v>
      </c>
      <c r="O182">
        <v>0</v>
      </c>
      <c r="P182">
        <v>0</v>
      </c>
      <c r="T182">
        <f>O182+P182+S182</f>
        <v>0</v>
      </c>
    </row>
    <row r="183" spans="1:21">
      <c r="A183">
        <v>19</v>
      </c>
      <c r="B183" t="s">
        <v>26</v>
      </c>
      <c r="C183" t="s">
        <v>168</v>
      </c>
      <c r="D183">
        <v>0</v>
      </c>
      <c r="E183">
        <v>0</v>
      </c>
      <c r="I183">
        <f t="shared" ref="I183" si="20">D183+E183+H183</f>
        <v>0</v>
      </c>
      <c r="J183" t="s">
        <v>54</v>
      </c>
      <c r="L183">
        <v>19</v>
      </c>
      <c r="M183" t="s">
        <v>26</v>
      </c>
      <c r="N183" t="s">
        <v>189</v>
      </c>
      <c r="O183">
        <v>0</v>
      </c>
      <c r="P183">
        <v>0</v>
      </c>
      <c r="Q183">
        <v>0</v>
      </c>
      <c r="R183">
        <v>0</v>
      </c>
      <c r="S183">
        <v>0</v>
      </c>
      <c r="T183">
        <f t="shared" ref="T183" si="21">O183+P183+S183</f>
        <v>0</v>
      </c>
      <c r="U183" t="s">
        <v>54</v>
      </c>
    </row>
    <row r="184" spans="1:21">
      <c r="B184" t="s">
        <v>8</v>
      </c>
      <c r="D184">
        <f>SUM(D164:D183)</f>
        <v>413</v>
      </c>
      <c r="E184">
        <f>SUM(E164:E183)</f>
        <v>440</v>
      </c>
      <c r="I184">
        <f>I164+I165+I166+I167+I168+I169+I170+I171+I172+I173+I174+I175+I176+I177+I178+I179+I181+I180+I182+I183</f>
        <v>945</v>
      </c>
      <c r="M184" t="s">
        <v>8</v>
      </c>
      <c r="O184">
        <f>SUM(O164:O183)</f>
        <v>894</v>
      </c>
      <c r="P184">
        <f>SUM(P164:P183)</f>
        <v>836</v>
      </c>
      <c r="T184">
        <f>T164+T165+T166+T167+T168+T169+T170+T171+T172+T173+T174+T175+T176+T177+T178+T179+T181+T180+T182+T183</f>
        <v>1932</v>
      </c>
    </row>
    <row r="187" spans="1:21">
      <c r="B187" t="s">
        <v>38</v>
      </c>
      <c r="C187" t="s">
        <v>190</v>
      </c>
      <c r="E187" t="s">
        <v>191</v>
      </c>
      <c r="M187" t="s">
        <v>38</v>
      </c>
      <c r="N187" t="s">
        <v>194</v>
      </c>
      <c r="P187" t="s">
        <v>197</v>
      </c>
      <c r="Q187" t="s">
        <v>195</v>
      </c>
    </row>
    <row r="188" spans="1:21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t="s">
        <v>7</v>
      </c>
      <c r="I188" t="s">
        <v>8</v>
      </c>
      <c r="J188" t="s">
        <v>51</v>
      </c>
      <c r="L188" t="s">
        <v>0</v>
      </c>
      <c r="M188" t="s">
        <v>1</v>
      </c>
      <c r="N188" t="s">
        <v>2</v>
      </c>
      <c r="O188" t="s">
        <v>3</v>
      </c>
      <c r="P188" t="s">
        <v>4</v>
      </c>
      <c r="Q188" t="s">
        <v>5</v>
      </c>
      <c r="R188" t="s">
        <v>6</v>
      </c>
      <c r="S188" t="s">
        <v>7</v>
      </c>
      <c r="T188" t="s">
        <v>8</v>
      </c>
      <c r="U188" t="s">
        <v>51</v>
      </c>
    </row>
    <row r="189" spans="1:21">
      <c r="A189">
        <v>1</v>
      </c>
      <c r="B189" t="s">
        <v>9</v>
      </c>
      <c r="C189" s="2">
        <v>45766</v>
      </c>
      <c r="D189">
        <v>29</v>
      </c>
      <c r="E189">
        <v>24</v>
      </c>
      <c r="F189">
        <v>6</v>
      </c>
      <c r="G189">
        <v>5</v>
      </c>
      <c r="H189">
        <v>11</v>
      </c>
      <c r="I189">
        <f>D189+E189+H189</f>
        <v>64</v>
      </c>
      <c r="J189" t="s">
        <v>50</v>
      </c>
      <c r="L189">
        <v>1</v>
      </c>
      <c r="M189" t="s">
        <v>9</v>
      </c>
      <c r="N189" s="2">
        <v>45767</v>
      </c>
      <c r="O189">
        <v>46</v>
      </c>
      <c r="P189">
        <v>41</v>
      </c>
      <c r="Q189">
        <v>12</v>
      </c>
      <c r="R189">
        <v>10</v>
      </c>
      <c r="S189">
        <v>22</v>
      </c>
      <c r="T189">
        <f>O189+P189+S189</f>
        <v>109</v>
      </c>
      <c r="U189" t="s">
        <v>50</v>
      </c>
    </row>
    <row r="190" spans="1:21">
      <c r="A190">
        <v>2</v>
      </c>
      <c r="B190" t="s">
        <v>11</v>
      </c>
      <c r="C190" s="2">
        <v>45766</v>
      </c>
      <c r="D190">
        <v>11</v>
      </c>
      <c r="E190">
        <v>11</v>
      </c>
      <c r="F190">
        <v>5</v>
      </c>
      <c r="G190">
        <v>6</v>
      </c>
      <c r="H190">
        <v>11</v>
      </c>
      <c r="I190">
        <f>D190+E190+H190</f>
        <v>33</v>
      </c>
      <c r="J190" t="s">
        <v>52</v>
      </c>
      <c r="L190">
        <v>2</v>
      </c>
      <c r="M190" t="s">
        <v>11</v>
      </c>
      <c r="N190" s="2">
        <v>45767</v>
      </c>
      <c r="O190">
        <v>18</v>
      </c>
      <c r="P190">
        <v>4</v>
      </c>
      <c r="Q190">
        <v>1</v>
      </c>
      <c r="R190">
        <v>0</v>
      </c>
      <c r="S190">
        <v>1</v>
      </c>
      <c r="T190">
        <f>O190+P190+S190</f>
        <v>23</v>
      </c>
      <c r="U190" t="s">
        <v>52</v>
      </c>
    </row>
    <row r="191" spans="1:21">
      <c r="A191">
        <v>3</v>
      </c>
      <c r="B191" t="s">
        <v>12</v>
      </c>
      <c r="C191" s="2">
        <v>45766</v>
      </c>
      <c r="D191">
        <v>38</v>
      </c>
      <c r="E191">
        <v>28</v>
      </c>
      <c r="H191">
        <v>0</v>
      </c>
      <c r="I191">
        <f>SUM(D191,E191,H191)</f>
        <v>66</v>
      </c>
      <c r="J191" t="s">
        <v>53</v>
      </c>
      <c r="L191">
        <v>3</v>
      </c>
      <c r="M191" t="s">
        <v>12</v>
      </c>
      <c r="N191" s="2">
        <v>45767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f>SUM(O191,P191,S191)</f>
        <v>0</v>
      </c>
      <c r="U191" t="s">
        <v>53</v>
      </c>
    </row>
    <row r="192" spans="1:21">
      <c r="A192">
        <v>4</v>
      </c>
      <c r="B192" t="s">
        <v>13</v>
      </c>
      <c r="C192" s="2">
        <v>45766</v>
      </c>
      <c r="D192">
        <v>20</v>
      </c>
      <c r="E192">
        <v>11</v>
      </c>
      <c r="H192">
        <v>1</v>
      </c>
      <c r="I192">
        <f t="shared" ref="I192:I206" si="22">D192+E192+H192</f>
        <v>32</v>
      </c>
      <c r="J192" t="s">
        <v>52</v>
      </c>
      <c r="L192">
        <v>4</v>
      </c>
      <c r="M192" t="s">
        <v>13</v>
      </c>
      <c r="N192" s="2">
        <v>45767</v>
      </c>
      <c r="O192">
        <v>27</v>
      </c>
      <c r="P192">
        <v>5</v>
      </c>
      <c r="S192">
        <v>4</v>
      </c>
      <c r="T192">
        <f t="shared" ref="T192:T206" si="23">O192+P192+S192</f>
        <v>36</v>
      </c>
      <c r="U192" t="s">
        <v>52</v>
      </c>
    </row>
    <row r="193" spans="1:21">
      <c r="A193">
        <v>5</v>
      </c>
      <c r="B193" t="s">
        <v>14</v>
      </c>
      <c r="C193" s="2">
        <v>45766</v>
      </c>
      <c r="D193">
        <v>72</v>
      </c>
      <c r="E193">
        <v>114</v>
      </c>
      <c r="H193">
        <v>52</v>
      </c>
      <c r="I193">
        <f t="shared" si="22"/>
        <v>238</v>
      </c>
      <c r="J193" t="s">
        <v>54</v>
      </c>
      <c r="L193">
        <v>5</v>
      </c>
      <c r="M193" t="s">
        <v>14</v>
      </c>
      <c r="N193" s="2">
        <v>45767</v>
      </c>
      <c r="O193">
        <v>0</v>
      </c>
      <c r="P193">
        <v>0</v>
      </c>
      <c r="T193">
        <f t="shared" si="23"/>
        <v>0</v>
      </c>
      <c r="U193" t="s">
        <v>54</v>
      </c>
    </row>
    <row r="194" spans="1:21">
      <c r="A194">
        <v>6</v>
      </c>
      <c r="B194" t="s">
        <v>15</v>
      </c>
      <c r="C194" s="2">
        <v>45766</v>
      </c>
      <c r="D194">
        <v>116</v>
      </c>
      <c r="E194">
        <v>64</v>
      </c>
      <c r="H194">
        <v>0</v>
      </c>
      <c r="I194">
        <f t="shared" si="22"/>
        <v>180</v>
      </c>
      <c r="J194" t="s">
        <v>55</v>
      </c>
      <c r="L194">
        <v>6</v>
      </c>
      <c r="M194" t="s">
        <v>15</v>
      </c>
      <c r="N194" s="2">
        <v>45767</v>
      </c>
      <c r="O194">
        <v>32</v>
      </c>
      <c r="P194">
        <v>21</v>
      </c>
      <c r="S194">
        <v>0</v>
      </c>
      <c r="T194">
        <f t="shared" si="23"/>
        <v>53</v>
      </c>
      <c r="U194" t="s">
        <v>55</v>
      </c>
    </row>
    <row r="195" spans="1:21">
      <c r="A195">
        <v>7</v>
      </c>
      <c r="B195" t="s">
        <v>16</v>
      </c>
      <c r="C195" s="2">
        <v>45766</v>
      </c>
      <c r="D195">
        <v>0</v>
      </c>
      <c r="E195">
        <v>0</v>
      </c>
      <c r="I195">
        <f t="shared" si="22"/>
        <v>0</v>
      </c>
      <c r="J195" t="s">
        <v>52</v>
      </c>
      <c r="L195">
        <v>7</v>
      </c>
      <c r="M195" t="s">
        <v>16</v>
      </c>
      <c r="N195" s="2">
        <v>45767</v>
      </c>
      <c r="O195">
        <v>0</v>
      </c>
      <c r="P195">
        <v>0</v>
      </c>
      <c r="T195">
        <f t="shared" si="23"/>
        <v>0</v>
      </c>
      <c r="U195" t="s">
        <v>52</v>
      </c>
    </row>
    <row r="196" spans="1:21">
      <c r="A196">
        <v>8</v>
      </c>
      <c r="B196" t="s">
        <v>17</v>
      </c>
      <c r="C196" s="2">
        <v>45766</v>
      </c>
      <c r="D196">
        <v>15</v>
      </c>
      <c r="E196">
        <v>5</v>
      </c>
      <c r="F196">
        <v>2</v>
      </c>
      <c r="G196">
        <v>3</v>
      </c>
      <c r="H196">
        <v>5</v>
      </c>
      <c r="I196">
        <f t="shared" si="22"/>
        <v>25</v>
      </c>
      <c r="J196" t="s">
        <v>50</v>
      </c>
      <c r="L196">
        <v>8</v>
      </c>
      <c r="M196" t="s">
        <v>17</v>
      </c>
      <c r="N196" s="2">
        <v>45767</v>
      </c>
      <c r="O196">
        <v>17</v>
      </c>
      <c r="P196">
        <v>5</v>
      </c>
      <c r="Q196">
        <v>1</v>
      </c>
      <c r="R196">
        <v>1</v>
      </c>
      <c r="S196">
        <v>2</v>
      </c>
      <c r="T196">
        <f t="shared" si="23"/>
        <v>24</v>
      </c>
      <c r="U196" t="s">
        <v>50</v>
      </c>
    </row>
    <row r="197" spans="1:21">
      <c r="A197">
        <v>9</v>
      </c>
      <c r="B197" t="s">
        <v>18</v>
      </c>
      <c r="C197" s="2">
        <v>45766</v>
      </c>
      <c r="D197">
        <v>24</v>
      </c>
      <c r="E197">
        <v>15</v>
      </c>
      <c r="F197" t="s">
        <v>193</v>
      </c>
      <c r="G197" t="s">
        <v>193</v>
      </c>
      <c r="H197">
        <v>6</v>
      </c>
      <c r="I197">
        <f t="shared" si="22"/>
        <v>45</v>
      </c>
      <c r="J197" t="s">
        <v>56</v>
      </c>
      <c r="L197">
        <v>9</v>
      </c>
      <c r="M197" t="s">
        <v>18</v>
      </c>
      <c r="N197" s="2">
        <v>45767</v>
      </c>
      <c r="O197">
        <v>19</v>
      </c>
      <c r="P197">
        <v>10</v>
      </c>
      <c r="S197">
        <v>3</v>
      </c>
      <c r="T197">
        <f t="shared" si="23"/>
        <v>32</v>
      </c>
      <c r="U197" t="s">
        <v>56</v>
      </c>
    </row>
    <row r="198" spans="1:21">
      <c r="A198">
        <v>10</v>
      </c>
      <c r="B198" t="s">
        <v>19</v>
      </c>
      <c r="C198" s="2">
        <v>45766</v>
      </c>
      <c r="D198">
        <v>85</v>
      </c>
      <c r="E198">
        <v>77</v>
      </c>
      <c r="H198">
        <v>37</v>
      </c>
      <c r="I198">
        <f t="shared" si="22"/>
        <v>199</v>
      </c>
      <c r="J198" t="s">
        <v>53</v>
      </c>
      <c r="L198">
        <v>10</v>
      </c>
      <c r="M198" t="s">
        <v>19</v>
      </c>
      <c r="N198" s="2">
        <v>45767</v>
      </c>
      <c r="O198">
        <v>18</v>
      </c>
      <c r="P198">
        <v>27</v>
      </c>
      <c r="S198">
        <v>6</v>
      </c>
      <c r="T198">
        <f t="shared" si="23"/>
        <v>51</v>
      </c>
      <c r="U198" t="s">
        <v>53</v>
      </c>
    </row>
    <row r="199" spans="1:21">
      <c r="A199">
        <v>11</v>
      </c>
      <c r="B199" t="s">
        <v>25</v>
      </c>
      <c r="C199" s="2">
        <v>45766</v>
      </c>
      <c r="D199">
        <v>10</v>
      </c>
      <c r="E199">
        <v>0</v>
      </c>
      <c r="F199">
        <v>0</v>
      </c>
      <c r="G199">
        <v>0</v>
      </c>
      <c r="H199">
        <v>0</v>
      </c>
      <c r="I199">
        <f t="shared" si="22"/>
        <v>10</v>
      </c>
      <c r="J199" t="s">
        <v>54</v>
      </c>
      <c r="L199">
        <v>11</v>
      </c>
      <c r="M199" t="s">
        <v>25</v>
      </c>
      <c r="N199" s="2">
        <v>45767</v>
      </c>
      <c r="O199">
        <v>9</v>
      </c>
      <c r="P199">
        <v>6</v>
      </c>
      <c r="Q199">
        <v>2</v>
      </c>
      <c r="R199">
        <v>0</v>
      </c>
      <c r="S199">
        <v>2</v>
      </c>
      <c r="T199">
        <f t="shared" si="23"/>
        <v>17</v>
      </c>
      <c r="U199" t="s">
        <v>54</v>
      </c>
    </row>
    <row r="200" spans="1:21">
      <c r="A200">
        <v>12</v>
      </c>
      <c r="B200" t="s">
        <v>27</v>
      </c>
      <c r="C200" s="2">
        <v>45766</v>
      </c>
      <c r="D200">
        <v>0</v>
      </c>
      <c r="E200">
        <v>0</v>
      </c>
      <c r="I200">
        <f t="shared" si="22"/>
        <v>0</v>
      </c>
      <c r="J200" t="s">
        <v>56</v>
      </c>
      <c r="L200">
        <v>12</v>
      </c>
      <c r="M200" t="s">
        <v>27</v>
      </c>
      <c r="N200" s="2">
        <v>45767</v>
      </c>
      <c r="O200">
        <v>76</v>
      </c>
      <c r="P200">
        <v>53</v>
      </c>
      <c r="Q200">
        <v>11</v>
      </c>
      <c r="R200">
        <v>14</v>
      </c>
      <c r="S200">
        <v>25</v>
      </c>
      <c r="T200">
        <f t="shared" si="23"/>
        <v>154</v>
      </c>
      <c r="U200" t="s">
        <v>56</v>
      </c>
    </row>
    <row r="201" spans="1:21">
      <c r="A201">
        <v>13</v>
      </c>
      <c r="B201" t="s">
        <v>20</v>
      </c>
      <c r="C201" s="2">
        <v>45766</v>
      </c>
      <c r="D201">
        <v>0</v>
      </c>
      <c r="E201">
        <v>0</v>
      </c>
      <c r="I201">
        <f t="shared" si="22"/>
        <v>0</v>
      </c>
      <c r="J201" t="s">
        <v>57</v>
      </c>
      <c r="L201">
        <v>13</v>
      </c>
      <c r="M201" t="s">
        <v>20</v>
      </c>
      <c r="N201" s="2">
        <v>45767</v>
      </c>
      <c r="O201">
        <v>0</v>
      </c>
      <c r="P201">
        <v>0</v>
      </c>
      <c r="T201">
        <f t="shared" si="23"/>
        <v>0</v>
      </c>
      <c r="U201" t="s">
        <v>57</v>
      </c>
    </row>
    <row r="202" spans="1:21">
      <c r="A202">
        <v>14</v>
      </c>
      <c r="B202" t="s">
        <v>32</v>
      </c>
      <c r="C202" s="2">
        <v>45766</v>
      </c>
      <c r="D202">
        <v>0</v>
      </c>
      <c r="E202">
        <v>0</v>
      </c>
      <c r="I202">
        <f t="shared" si="22"/>
        <v>0</v>
      </c>
      <c r="J202" t="s">
        <v>50</v>
      </c>
      <c r="L202">
        <v>14</v>
      </c>
      <c r="M202" t="s">
        <v>32</v>
      </c>
      <c r="N202" s="2">
        <v>45767</v>
      </c>
      <c r="O202">
        <v>0</v>
      </c>
      <c r="P202">
        <v>0</v>
      </c>
      <c r="T202">
        <f t="shared" si="23"/>
        <v>0</v>
      </c>
      <c r="U202" t="s">
        <v>50</v>
      </c>
    </row>
    <row r="203" spans="1:21">
      <c r="A203">
        <v>15</v>
      </c>
      <c r="B203" t="s">
        <v>48</v>
      </c>
      <c r="C203" s="2">
        <v>45766</v>
      </c>
      <c r="D203">
        <v>0</v>
      </c>
      <c r="E203">
        <v>0</v>
      </c>
      <c r="I203">
        <f t="shared" si="22"/>
        <v>0</v>
      </c>
      <c r="J203" t="s">
        <v>59</v>
      </c>
      <c r="L203">
        <v>15</v>
      </c>
      <c r="M203" t="s">
        <v>48</v>
      </c>
      <c r="N203" s="2">
        <v>45767</v>
      </c>
      <c r="O203">
        <v>0</v>
      </c>
      <c r="P203">
        <v>0</v>
      </c>
      <c r="T203">
        <f t="shared" si="23"/>
        <v>0</v>
      </c>
      <c r="U203" t="s">
        <v>59</v>
      </c>
    </row>
    <row r="204" spans="1:21">
      <c r="A204">
        <v>16</v>
      </c>
      <c r="B204" t="s">
        <v>37</v>
      </c>
      <c r="C204" s="2">
        <v>45766</v>
      </c>
      <c r="D204">
        <v>0</v>
      </c>
      <c r="E204">
        <v>0</v>
      </c>
      <c r="I204">
        <f t="shared" si="22"/>
        <v>0</v>
      </c>
      <c r="J204" t="s">
        <v>55</v>
      </c>
      <c r="L204">
        <v>16</v>
      </c>
      <c r="M204" t="s">
        <v>37</v>
      </c>
      <c r="N204" s="2">
        <v>45767</v>
      </c>
      <c r="O204">
        <v>0</v>
      </c>
      <c r="P204">
        <v>0</v>
      </c>
      <c r="T204">
        <f t="shared" si="23"/>
        <v>0</v>
      </c>
      <c r="U204" t="s">
        <v>55</v>
      </c>
    </row>
    <row r="205" spans="1:21">
      <c r="A205">
        <v>17</v>
      </c>
      <c r="B205" t="s">
        <v>49</v>
      </c>
      <c r="C205" s="2">
        <v>45766</v>
      </c>
      <c r="D205">
        <v>0</v>
      </c>
      <c r="E205">
        <v>0</v>
      </c>
      <c r="I205">
        <f t="shared" si="22"/>
        <v>0</v>
      </c>
      <c r="J205" t="s">
        <v>59</v>
      </c>
      <c r="L205">
        <v>17</v>
      </c>
      <c r="M205" t="s">
        <v>49</v>
      </c>
      <c r="N205" s="2">
        <v>45767</v>
      </c>
      <c r="O205">
        <v>0</v>
      </c>
      <c r="P205">
        <v>0</v>
      </c>
      <c r="T205">
        <f t="shared" si="23"/>
        <v>0</v>
      </c>
      <c r="U205" t="s">
        <v>59</v>
      </c>
    </row>
    <row r="206" spans="1:21">
      <c r="A206">
        <v>18</v>
      </c>
      <c r="B206" t="s">
        <v>21</v>
      </c>
      <c r="C206" s="2">
        <v>45766</v>
      </c>
      <c r="D206">
        <v>0</v>
      </c>
      <c r="E206">
        <v>0</v>
      </c>
      <c r="I206">
        <f t="shared" si="22"/>
        <v>0</v>
      </c>
      <c r="J206" t="s">
        <v>59</v>
      </c>
      <c r="L206">
        <v>18</v>
      </c>
      <c r="M206" t="s">
        <v>21</v>
      </c>
      <c r="N206" s="2">
        <v>45767</v>
      </c>
      <c r="O206">
        <v>0</v>
      </c>
      <c r="P206">
        <v>0</v>
      </c>
      <c r="T206">
        <f t="shared" si="23"/>
        <v>0</v>
      </c>
      <c r="U206" t="s">
        <v>59</v>
      </c>
    </row>
    <row r="207" spans="1:21">
      <c r="B207" t="s">
        <v>104</v>
      </c>
      <c r="C207" s="2">
        <v>45766</v>
      </c>
      <c r="D207">
        <v>0</v>
      </c>
      <c r="E207">
        <v>0</v>
      </c>
      <c r="I207">
        <f>D207+E207+H207</f>
        <v>0</v>
      </c>
      <c r="M207" t="s">
        <v>104</v>
      </c>
      <c r="N207" s="2">
        <v>45767</v>
      </c>
      <c r="O207">
        <v>0</v>
      </c>
      <c r="P207">
        <v>0</v>
      </c>
      <c r="T207">
        <f>O207+P207+S207</f>
        <v>0</v>
      </c>
    </row>
    <row r="208" spans="1:21">
      <c r="A208">
        <v>19</v>
      </c>
      <c r="B208" t="s">
        <v>26</v>
      </c>
      <c r="C208" s="2">
        <v>45766</v>
      </c>
      <c r="D208">
        <v>0</v>
      </c>
      <c r="E208">
        <v>0</v>
      </c>
      <c r="I208">
        <f t="shared" ref="I208" si="24">D208+E208+H208</f>
        <v>0</v>
      </c>
      <c r="J208" t="s">
        <v>54</v>
      </c>
      <c r="L208">
        <v>19</v>
      </c>
      <c r="M208" t="s">
        <v>26</v>
      </c>
      <c r="N208" s="2">
        <v>45767</v>
      </c>
      <c r="O208">
        <v>0</v>
      </c>
      <c r="P208">
        <v>0</v>
      </c>
      <c r="T208">
        <f t="shared" ref="T208" si="25">O208+P208+S208</f>
        <v>0</v>
      </c>
      <c r="U208" t="s">
        <v>54</v>
      </c>
    </row>
    <row r="209" spans="1:21">
      <c r="B209" t="s">
        <v>8</v>
      </c>
      <c r="D209">
        <f>SUM(D189:D208)</f>
        <v>420</v>
      </c>
      <c r="E209">
        <f>SUM(E189:E208)</f>
        <v>349</v>
      </c>
      <c r="I209">
        <f>I189+I190+I191+I192+I193+I194+I195+I196+I197+I198+I199+I200+I201+I202+I203+I204+I206+I205+I207+I208</f>
        <v>892</v>
      </c>
      <c r="M209" t="s">
        <v>8</v>
      </c>
      <c r="O209">
        <f>SUM(O189:O208)</f>
        <v>262</v>
      </c>
      <c r="P209">
        <f>SUM(P189:P208)</f>
        <v>172</v>
      </c>
      <c r="T209">
        <f>T189+T190+T191+T192+T193+T194+T195+T196+T197+T198+T199+T200+T201+T202+T203+T204+T206+T205+T207+T208</f>
        <v>499</v>
      </c>
    </row>
    <row r="212" spans="1:21">
      <c r="B212" t="s">
        <v>38</v>
      </c>
      <c r="C212" t="s">
        <v>196</v>
      </c>
      <c r="E212" t="s">
        <v>199</v>
      </c>
      <c r="M212" t="s">
        <v>38</v>
      </c>
      <c r="N212" t="s">
        <v>198</v>
      </c>
      <c r="P212" t="s">
        <v>127</v>
      </c>
    </row>
    <row r="213" spans="1:21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t="s">
        <v>7</v>
      </c>
      <c r="I213" t="s">
        <v>8</v>
      </c>
      <c r="J213" t="s">
        <v>51</v>
      </c>
      <c r="L213" t="s">
        <v>0</v>
      </c>
      <c r="M213" t="s">
        <v>1</v>
      </c>
      <c r="N213" t="s">
        <v>2</v>
      </c>
      <c r="O213" t="s">
        <v>3</v>
      </c>
      <c r="P213" t="s">
        <v>4</v>
      </c>
      <c r="Q213" t="s">
        <v>5</v>
      </c>
      <c r="R213" t="s">
        <v>6</v>
      </c>
      <c r="S213" t="s">
        <v>7</v>
      </c>
      <c r="T213" t="s">
        <v>8</v>
      </c>
      <c r="U213" t="s">
        <v>51</v>
      </c>
    </row>
    <row r="214" spans="1:21">
      <c r="A214">
        <v>1</v>
      </c>
      <c r="B214" t="s">
        <v>9</v>
      </c>
      <c r="C214" s="2">
        <v>45768</v>
      </c>
      <c r="D214">
        <v>31</v>
      </c>
      <c r="E214">
        <v>23</v>
      </c>
      <c r="F214">
        <v>6</v>
      </c>
      <c r="G214">
        <v>3</v>
      </c>
      <c r="H214">
        <v>9</v>
      </c>
      <c r="I214">
        <f>D214+E214+H214</f>
        <v>63</v>
      </c>
      <c r="J214" t="s">
        <v>50</v>
      </c>
      <c r="L214">
        <v>1</v>
      </c>
      <c r="M214" t="s">
        <v>9</v>
      </c>
      <c r="N214" s="3">
        <v>45769</v>
      </c>
      <c r="O214">
        <v>36</v>
      </c>
      <c r="P214">
        <v>28</v>
      </c>
      <c r="Q214">
        <v>8</v>
      </c>
      <c r="R214">
        <v>4</v>
      </c>
      <c r="S214">
        <v>12</v>
      </c>
      <c r="T214">
        <f>O214+P214+S214</f>
        <v>76</v>
      </c>
      <c r="U214" t="s">
        <v>50</v>
      </c>
    </row>
    <row r="215" spans="1:21">
      <c r="A215">
        <v>2</v>
      </c>
      <c r="B215" t="s">
        <v>11</v>
      </c>
      <c r="C215" s="2">
        <v>45768</v>
      </c>
      <c r="D215">
        <v>16</v>
      </c>
      <c r="E215">
        <v>2</v>
      </c>
      <c r="F215">
        <v>0</v>
      </c>
      <c r="G215">
        <v>0</v>
      </c>
      <c r="H215">
        <v>0</v>
      </c>
      <c r="I215">
        <f>D215+E215+H215</f>
        <v>18</v>
      </c>
      <c r="J215" t="s">
        <v>52</v>
      </c>
      <c r="L215">
        <v>2</v>
      </c>
      <c r="M215" t="s">
        <v>11</v>
      </c>
      <c r="N215" s="3">
        <v>45769</v>
      </c>
      <c r="O215">
        <v>15</v>
      </c>
      <c r="P215">
        <v>8</v>
      </c>
      <c r="Q215">
        <v>5</v>
      </c>
      <c r="R215">
        <v>3</v>
      </c>
      <c r="S215">
        <v>8</v>
      </c>
      <c r="T215">
        <f>O215+P215+S215</f>
        <v>31</v>
      </c>
      <c r="U215" t="s">
        <v>52</v>
      </c>
    </row>
    <row r="216" spans="1:21">
      <c r="A216">
        <v>3</v>
      </c>
      <c r="B216" t="s">
        <v>12</v>
      </c>
      <c r="C216" s="2">
        <v>45768</v>
      </c>
      <c r="D216">
        <v>26</v>
      </c>
      <c r="E216">
        <v>25</v>
      </c>
      <c r="H216">
        <v>0</v>
      </c>
      <c r="I216">
        <f>SUM(D216,E216,H216)</f>
        <v>51</v>
      </c>
      <c r="J216" t="s">
        <v>53</v>
      </c>
      <c r="L216">
        <v>3</v>
      </c>
      <c r="M216" t="s">
        <v>12</v>
      </c>
      <c r="N216" s="3">
        <v>45769</v>
      </c>
      <c r="O216">
        <v>37</v>
      </c>
      <c r="P216">
        <v>23</v>
      </c>
      <c r="S216">
        <v>0</v>
      </c>
      <c r="T216">
        <f>SUM(O216,P216,S216)</f>
        <v>60</v>
      </c>
      <c r="U216" t="s">
        <v>53</v>
      </c>
    </row>
    <row r="217" spans="1:21">
      <c r="A217">
        <v>4</v>
      </c>
      <c r="B217" t="s">
        <v>13</v>
      </c>
      <c r="C217" s="2">
        <v>45768</v>
      </c>
      <c r="D217">
        <v>13</v>
      </c>
      <c r="E217">
        <v>9</v>
      </c>
      <c r="H217">
        <v>2</v>
      </c>
      <c r="I217">
        <f t="shared" ref="I217:I231" si="26">D217+E217+H217</f>
        <v>24</v>
      </c>
      <c r="J217" t="s">
        <v>52</v>
      </c>
      <c r="L217">
        <v>4</v>
      </c>
      <c r="M217" t="s">
        <v>13</v>
      </c>
      <c r="N217" s="3">
        <v>45769</v>
      </c>
      <c r="O217">
        <v>41</v>
      </c>
      <c r="P217">
        <v>9</v>
      </c>
      <c r="S217">
        <v>4</v>
      </c>
      <c r="T217">
        <f t="shared" ref="T217:T231" si="27">O217+P217+S217</f>
        <v>54</v>
      </c>
      <c r="U217" t="s">
        <v>52</v>
      </c>
    </row>
    <row r="218" spans="1:21">
      <c r="A218">
        <v>5</v>
      </c>
      <c r="B218" t="s">
        <v>14</v>
      </c>
      <c r="C218" s="2">
        <v>45768</v>
      </c>
      <c r="D218">
        <v>264</v>
      </c>
      <c r="E218">
        <v>112</v>
      </c>
      <c r="H218">
        <v>50</v>
      </c>
      <c r="I218">
        <f t="shared" si="26"/>
        <v>426</v>
      </c>
      <c r="J218" t="s">
        <v>54</v>
      </c>
      <c r="L218">
        <v>5</v>
      </c>
      <c r="M218" t="s">
        <v>14</v>
      </c>
      <c r="N218" s="3">
        <v>45769</v>
      </c>
      <c r="O218">
        <v>102</v>
      </c>
      <c r="P218">
        <v>139</v>
      </c>
      <c r="S218">
        <v>46</v>
      </c>
      <c r="T218">
        <f t="shared" si="27"/>
        <v>287</v>
      </c>
      <c r="U218" t="s">
        <v>54</v>
      </c>
    </row>
    <row r="219" spans="1:21">
      <c r="A219">
        <v>6</v>
      </c>
      <c r="B219" t="s">
        <v>15</v>
      </c>
      <c r="C219" s="2">
        <v>45768</v>
      </c>
      <c r="D219">
        <v>64</v>
      </c>
      <c r="E219">
        <v>66</v>
      </c>
      <c r="H219">
        <v>0</v>
      </c>
      <c r="I219">
        <f t="shared" si="26"/>
        <v>130</v>
      </c>
      <c r="J219" t="s">
        <v>55</v>
      </c>
      <c r="L219">
        <v>6</v>
      </c>
      <c r="M219" t="s">
        <v>15</v>
      </c>
      <c r="N219" s="3">
        <v>45769</v>
      </c>
      <c r="O219">
        <v>70</v>
      </c>
      <c r="P219">
        <v>52</v>
      </c>
      <c r="S219">
        <v>0</v>
      </c>
      <c r="T219">
        <f t="shared" si="27"/>
        <v>122</v>
      </c>
      <c r="U219" t="s">
        <v>55</v>
      </c>
    </row>
    <row r="220" spans="1:21">
      <c r="A220">
        <v>7</v>
      </c>
      <c r="B220" t="s">
        <v>16</v>
      </c>
      <c r="C220" s="2">
        <v>45768</v>
      </c>
      <c r="D220">
        <v>0</v>
      </c>
      <c r="E220">
        <v>0</v>
      </c>
      <c r="I220">
        <f t="shared" si="26"/>
        <v>0</v>
      </c>
      <c r="J220" t="s">
        <v>52</v>
      </c>
      <c r="L220">
        <v>7</v>
      </c>
      <c r="M220" t="s">
        <v>16</v>
      </c>
      <c r="N220" s="3">
        <v>45769</v>
      </c>
      <c r="O220">
        <v>0</v>
      </c>
      <c r="P220">
        <v>0</v>
      </c>
      <c r="T220">
        <f t="shared" si="27"/>
        <v>0</v>
      </c>
      <c r="U220" t="s">
        <v>52</v>
      </c>
    </row>
    <row r="221" spans="1:21">
      <c r="A221">
        <v>8</v>
      </c>
      <c r="B221" t="s">
        <v>17</v>
      </c>
      <c r="C221" s="2">
        <v>45768</v>
      </c>
      <c r="D221">
        <v>21</v>
      </c>
      <c r="E221">
        <v>8</v>
      </c>
      <c r="F221">
        <v>0</v>
      </c>
      <c r="G221">
        <v>0</v>
      </c>
      <c r="H221">
        <v>0</v>
      </c>
      <c r="I221">
        <f t="shared" si="26"/>
        <v>29</v>
      </c>
      <c r="J221" t="s">
        <v>50</v>
      </c>
      <c r="L221">
        <v>8</v>
      </c>
      <c r="M221" t="s">
        <v>17</v>
      </c>
      <c r="N221" s="3">
        <v>45769</v>
      </c>
      <c r="O221">
        <v>24</v>
      </c>
      <c r="P221">
        <v>14</v>
      </c>
      <c r="S221">
        <v>0</v>
      </c>
      <c r="T221">
        <f t="shared" si="27"/>
        <v>38</v>
      </c>
      <c r="U221" t="s">
        <v>50</v>
      </c>
    </row>
    <row r="222" spans="1:21">
      <c r="A222">
        <v>9</v>
      </c>
      <c r="B222" t="s">
        <v>18</v>
      </c>
      <c r="C222" s="2">
        <v>45768</v>
      </c>
      <c r="D222">
        <v>34</v>
      </c>
      <c r="E222">
        <v>10</v>
      </c>
      <c r="H222">
        <v>6</v>
      </c>
      <c r="I222">
        <f t="shared" si="26"/>
        <v>50</v>
      </c>
      <c r="J222" t="s">
        <v>56</v>
      </c>
      <c r="L222">
        <v>9</v>
      </c>
      <c r="M222" t="s">
        <v>18</v>
      </c>
      <c r="N222" s="3">
        <v>45769</v>
      </c>
      <c r="O222">
        <v>43</v>
      </c>
      <c r="P222">
        <v>5</v>
      </c>
      <c r="S222">
        <v>7</v>
      </c>
      <c r="T222">
        <f t="shared" si="27"/>
        <v>55</v>
      </c>
      <c r="U222" t="s">
        <v>56</v>
      </c>
    </row>
    <row r="223" spans="1:21">
      <c r="A223">
        <v>10</v>
      </c>
      <c r="B223" t="s">
        <v>19</v>
      </c>
      <c r="C223" s="2">
        <v>45768</v>
      </c>
      <c r="D223">
        <v>91</v>
      </c>
      <c r="E223">
        <v>53</v>
      </c>
      <c r="H223">
        <v>17</v>
      </c>
      <c r="I223">
        <f t="shared" si="26"/>
        <v>161</v>
      </c>
      <c r="J223" t="s">
        <v>53</v>
      </c>
      <c r="L223">
        <v>10</v>
      </c>
      <c r="M223" t="s">
        <v>19</v>
      </c>
      <c r="N223" s="3">
        <v>45769</v>
      </c>
      <c r="O223">
        <v>78</v>
      </c>
      <c r="P223">
        <v>61</v>
      </c>
      <c r="S223">
        <v>28</v>
      </c>
      <c r="T223">
        <f t="shared" si="27"/>
        <v>167</v>
      </c>
      <c r="U223" t="s">
        <v>53</v>
      </c>
    </row>
    <row r="224" spans="1:21">
      <c r="A224">
        <v>11</v>
      </c>
      <c r="B224" t="s">
        <v>25</v>
      </c>
      <c r="C224" s="2">
        <v>45768</v>
      </c>
      <c r="D224">
        <v>4</v>
      </c>
      <c r="E224">
        <v>4</v>
      </c>
      <c r="F224">
        <v>0</v>
      </c>
      <c r="G224">
        <v>2</v>
      </c>
      <c r="H224">
        <v>2</v>
      </c>
      <c r="I224">
        <f t="shared" si="26"/>
        <v>10</v>
      </c>
      <c r="J224" t="s">
        <v>54</v>
      </c>
      <c r="L224">
        <v>11</v>
      </c>
      <c r="M224" t="s">
        <v>25</v>
      </c>
      <c r="N224" s="3">
        <v>45769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f t="shared" si="27"/>
        <v>0</v>
      </c>
      <c r="U224" t="s">
        <v>54</v>
      </c>
    </row>
    <row r="225" spans="1:21">
      <c r="A225">
        <v>12</v>
      </c>
      <c r="B225" t="s">
        <v>27</v>
      </c>
      <c r="C225" s="2">
        <v>45768</v>
      </c>
      <c r="D225">
        <v>210</v>
      </c>
      <c r="E225">
        <v>190</v>
      </c>
      <c r="F225">
        <v>20</v>
      </c>
      <c r="G225">
        <v>23</v>
      </c>
      <c r="H225">
        <v>43</v>
      </c>
      <c r="I225">
        <f t="shared" si="26"/>
        <v>443</v>
      </c>
      <c r="J225" t="s">
        <v>56</v>
      </c>
      <c r="L225">
        <v>12</v>
      </c>
      <c r="M225" t="s">
        <v>27</v>
      </c>
      <c r="N225" s="3">
        <v>45769</v>
      </c>
      <c r="O225">
        <v>70</v>
      </c>
      <c r="P225">
        <v>100</v>
      </c>
      <c r="Q225">
        <v>19</v>
      </c>
      <c r="R225">
        <v>17</v>
      </c>
      <c r="S225">
        <v>36</v>
      </c>
      <c r="T225">
        <f t="shared" si="27"/>
        <v>206</v>
      </c>
      <c r="U225" t="s">
        <v>56</v>
      </c>
    </row>
    <row r="226" spans="1:21">
      <c r="A226">
        <v>13</v>
      </c>
      <c r="B226" t="s">
        <v>20</v>
      </c>
      <c r="C226" s="2">
        <v>45768</v>
      </c>
      <c r="D226">
        <v>0</v>
      </c>
      <c r="E226">
        <v>0</v>
      </c>
      <c r="I226">
        <f t="shared" si="26"/>
        <v>0</v>
      </c>
      <c r="J226" t="s">
        <v>57</v>
      </c>
      <c r="L226">
        <v>13</v>
      </c>
      <c r="M226" t="s">
        <v>20</v>
      </c>
      <c r="N226" s="3">
        <v>45769</v>
      </c>
      <c r="O226">
        <v>105</v>
      </c>
      <c r="P226">
        <v>110</v>
      </c>
      <c r="Q226">
        <v>17</v>
      </c>
      <c r="R226">
        <v>10</v>
      </c>
      <c r="S226">
        <v>27</v>
      </c>
      <c r="T226">
        <f t="shared" si="27"/>
        <v>242</v>
      </c>
      <c r="U226" t="s">
        <v>57</v>
      </c>
    </row>
    <row r="227" spans="1:21">
      <c r="A227">
        <v>14</v>
      </c>
      <c r="B227" t="s">
        <v>32</v>
      </c>
      <c r="C227" s="2">
        <v>45768</v>
      </c>
      <c r="D227">
        <v>56</v>
      </c>
      <c r="E227">
        <v>110</v>
      </c>
      <c r="F227">
        <v>3</v>
      </c>
      <c r="G227">
        <v>9</v>
      </c>
      <c r="H227">
        <v>12</v>
      </c>
      <c r="I227">
        <f t="shared" si="26"/>
        <v>178</v>
      </c>
      <c r="J227" t="s">
        <v>50</v>
      </c>
      <c r="L227">
        <v>14</v>
      </c>
      <c r="M227" t="s">
        <v>32</v>
      </c>
      <c r="N227" s="3">
        <v>45769</v>
      </c>
      <c r="O227">
        <v>43</v>
      </c>
      <c r="P227">
        <v>31</v>
      </c>
      <c r="Q227">
        <v>3</v>
      </c>
      <c r="R227">
        <v>4</v>
      </c>
      <c r="S227">
        <v>7</v>
      </c>
      <c r="T227">
        <f t="shared" si="27"/>
        <v>81</v>
      </c>
      <c r="U227" t="s">
        <v>50</v>
      </c>
    </row>
    <row r="228" spans="1:21">
      <c r="A228">
        <v>15</v>
      </c>
      <c r="B228" t="s">
        <v>48</v>
      </c>
      <c r="C228" s="2">
        <v>45768</v>
      </c>
      <c r="D228">
        <v>0</v>
      </c>
      <c r="E228">
        <v>0</v>
      </c>
      <c r="I228">
        <f t="shared" si="26"/>
        <v>0</v>
      </c>
      <c r="J228" t="s">
        <v>59</v>
      </c>
      <c r="L228">
        <v>15</v>
      </c>
      <c r="M228" t="s">
        <v>48</v>
      </c>
      <c r="N228" s="3">
        <v>45769</v>
      </c>
      <c r="O228">
        <v>0</v>
      </c>
      <c r="P228">
        <v>0</v>
      </c>
      <c r="T228">
        <f t="shared" si="27"/>
        <v>0</v>
      </c>
      <c r="U228" t="s">
        <v>59</v>
      </c>
    </row>
    <row r="229" spans="1:21">
      <c r="A229">
        <v>16</v>
      </c>
      <c r="B229" t="s">
        <v>37</v>
      </c>
      <c r="C229" s="2">
        <v>45768</v>
      </c>
      <c r="D229">
        <v>0</v>
      </c>
      <c r="E229">
        <v>0</v>
      </c>
      <c r="I229">
        <f t="shared" si="26"/>
        <v>0</v>
      </c>
      <c r="J229" t="s">
        <v>55</v>
      </c>
      <c r="L229">
        <v>16</v>
      </c>
      <c r="M229" t="s">
        <v>37</v>
      </c>
      <c r="N229" s="3">
        <v>45769</v>
      </c>
      <c r="O229">
        <v>0</v>
      </c>
      <c r="P229">
        <v>0</v>
      </c>
      <c r="T229">
        <f t="shared" si="27"/>
        <v>0</v>
      </c>
      <c r="U229" t="s">
        <v>55</v>
      </c>
    </row>
    <row r="230" spans="1:21">
      <c r="A230">
        <v>17</v>
      </c>
      <c r="B230" t="s">
        <v>49</v>
      </c>
      <c r="C230" s="2">
        <v>45768</v>
      </c>
      <c r="D230">
        <v>0</v>
      </c>
      <c r="E230">
        <v>0</v>
      </c>
      <c r="I230">
        <f t="shared" si="26"/>
        <v>0</v>
      </c>
      <c r="J230" t="s">
        <v>59</v>
      </c>
      <c r="L230">
        <v>17</v>
      </c>
      <c r="M230" t="s">
        <v>49</v>
      </c>
      <c r="N230" s="3">
        <v>45769</v>
      </c>
      <c r="O230">
        <v>0</v>
      </c>
      <c r="P230">
        <v>0</v>
      </c>
      <c r="T230">
        <f t="shared" si="27"/>
        <v>0</v>
      </c>
      <c r="U230" t="s">
        <v>59</v>
      </c>
    </row>
    <row r="231" spans="1:21">
      <c r="A231">
        <v>18</v>
      </c>
      <c r="B231" t="s">
        <v>21</v>
      </c>
      <c r="C231" s="2">
        <v>45768</v>
      </c>
      <c r="D231">
        <v>0</v>
      </c>
      <c r="E231">
        <v>0</v>
      </c>
      <c r="I231">
        <f t="shared" si="26"/>
        <v>0</v>
      </c>
      <c r="J231" t="s">
        <v>59</v>
      </c>
      <c r="L231">
        <v>18</v>
      </c>
      <c r="M231" t="s">
        <v>21</v>
      </c>
      <c r="N231" s="3">
        <v>45769</v>
      </c>
      <c r="O231">
        <v>0</v>
      </c>
      <c r="P231">
        <v>0</v>
      </c>
      <c r="T231">
        <f t="shared" si="27"/>
        <v>0</v>
      </c>
      <c r="U231" t="s">
        <v>59</v>
      </c>
    </row>
    <row r="232" spans="1:21">
      <c r="A232">
        <v>19</v>
      </c>
      <c r="B232" t="s">
        <v>104</v>
      </c>
      <c r="C232" s="2">
        <v>45768</v>
      </c>
      <c r="D232">
        <v>0</v>
      </c>
      <c r="E232">
        <v>0</v>
      </c>
      <c r="I232">
        <f>D232+E232+H232</f>
        <v>0</v>
      </c>
      <c r="J232" t="s">
        <v>56</v>
      </c>
      <c r="L232">
        <v>19</v>
      </c>
      <c r="M232" t="s">
        <v>104</v>
      </c>
      <c r="N232" s="3">
        <v>45769</v>
      </c>
      <c r="O232">
        <v>0</v>
      </c>
      <c r="P232">
        <v>0</v>
      </c>
      <c r="T232">
        <f>O232+P232+S232</f>
        <v>0</v>
      </c>
      <c r="U232" t="s">
        <v>56</v>
      </c>
    </row>
    <row r="233" spans="1:21">
      <c r="A233">
        <v>20</v>
      </c>
      <c r="B233" t="s">
        <v>26</v>
      </c>
      <c r="C233" s="2">
        <v>45768</v>
      </c>
      <c r="D233">
        <v>0</v>
      </c>
      <c r="E233">
        <v>0</v>
      </c>
      <c r="I233">
        <f t="shared" ref="I233" si="28">D233+E233+H233</f>
        <v>0</v>
      </c>
      <c r="J233" t="s">
        <v>54</v>
      </c>
      <c r="L233">
        <v>20</v>
      </c>
      <c r="M233" t="s">
        <v>26</v>
      </c>
      <c r="N233" s="3">
        <v>45769</v>
      </c>
      <c r="O233">
        <v>0</v>
      </c>
      <c r="P233">
        <v>0</v>
      </c>
      <c r="T233">
        <f t="shared" ref="T233" si="29">O233+P233+S233</f>
        <v>0</v>
      </c>
      <c r="U233" t="s">
        <v>54</v>
      </c>
    </row>
    <row r="234" spans="1:21">
      <c r="B234" t="s">
        <v>8</v>
      </c>
      <c r="D234">
        <f>SUM(D214:D233)</f>
        <v>830</v>
      </c>
      <c r="E234">
        <f>SUM(E214:E233)</f>
        <v>612</v>
      </c>
      <c r="I234">
        <f>I214+I215+I216+I217+I218+I219+I220+I221+I222+I223+I224+I225+I226+I227+I228+I229+I231+I230+I232+I233</f>
        <v>1583</v>
      </c>
      <c r="M234" t="s">
        <v>8</v>
      </c>
      <c r="O234">
        <f>SUM(O214:O233)</f>
        <v>664</v>
      </c>
      <c r="P234">
        <f>SUM(P214:P233)</f>
        <v>580</v>
      </c>
      <c r="T234">
        <f>T214+T215+T216+T217+T218+T219+T220+T221+T222+T223+T224+T225+T226+T227+T228+T229+T230+T231+T232+T233</f>
        <v>1419</v>
      </c>
    </row>
    <row r="237" spans="1:21">
      <c r="B237" t="s">
        <v>38</v>
      </c>
      <c r="C237" t="s">
        <v>200</v>
      </c>
      <c r="M237" t="s">
        <v>38</v>
      </c>
      <c r="N237" t="s">
        <v>201</v>
      </c>
    </row>
    <row r="238" spans="1:21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51</v>
      </c>
      <c r="L238" t="s">
        <v>0</v>
      </c>
      <c r="M238" t="s">
        <v>1</v>
      </c>
      <c r="N238" t="s">
        <v>2</v>
      </c>
      <c r="O238" t="s">
        <v>3</v>
      </c>
      <c r="P238" t="s">
        <v>4</v>
      </c>
      <c r="Q238" t="s">
        <v>5</v>
      </c>
      <c r="R238" t="s">
        <v>6</v>
      </c>
      <c r="S238" t="s">
        <v>7</v>
      </c>
      <c r="T238" t="s">
        <v>8</v>
      </c>
      <c r="U238" t="s">
        <v>51</v>
      </c>
    </row>
    <row r="239" spans="1:21">
      <c r="A239">
        <v>1</v>
      </c>
      <c r="B239" t="s">
        <v>9</v>
      </c>
      <c r="C239" s="2">
        <v>45770</v>
      </c>
      <c r="D239">
        <v>31</v>
      </c>
      <c r="E239">
        <v>23</v>
      </c>
      <c r="F239">
        <v>7</v>
      </c>
      <c r="G239">
        <v>7</v>
      </c>
      <c r="H239">
        <v>14</v>
      </c>
      <c r="I239">
        <f>D239+E239+H239</f>
        <v>68</v>
      </c>
      <c r="J239" t="s">
        <v>50</v>
      </c>
      <c r="L239">
        <v>1</v>
      </c>
      <c r="M239" t="s">
        <v>9</v>
      </c>
      <c r="N239" s="2">
        <v>45771</v>
      </c>
      <c r="O239">
        <v>25</v>
      </c>
      <c r="P239">
        <v>24</v>
      </c>
      <c r="Q239">
        <v>4</v>
      </c>
      <c r="R239">
        <v>5</v>
      </c>
      <c r="S239">
        <v>9</v>
      </c>
      <c r="T239">
        <f>O239+P239+S239</f>
        <v>58</v>
      </c>
      <c r="U239" t="s">
        <v>50</v>
      </c>
    </row>
    <row r="240" spans="1:21">
      <c r="A240">
        <v>2</v>
      </c>
      <c r="B240" t="s">
        <v>11</v>
      </c>
      <c r="C240" s="2">
        <v>45770</v>
      </c>
      <c r="D240">
        <v>0</v>
      </c>
      <c r="E240">
        <v>0</v>
      </c>
      <c r="I240">
        <f>D240+E240+H240</f>
        <v>0</v>
      </c>
      <c r="J240" t="s">
        <v>52</v>
      </c>
      <c r="L240">
        <v>2</v>
      </c>
      <c r="M240" t="s">
        <v>11</v>
      </c>
      <c r="N240" s="2">
        <v>45771</v>
      </c>
      <c r="O240">
        <v>16</v>
      </c>
      <c r="P240">
        <v>7</v>
      </c>
      <c r="Q240">
        <v>0</v>
      </c>
      <c r="R240">
        <v>0</v>
      </c>
      <c r="S240">
        <v>0</v>
      </c>
      <c r="T240">
        <f>O240+P240+S240</f>
        <v>23</v>
      </c>
      <c r="U240" t="s">
        <v>52</v>
      </c>
    </row>
    <row r="241" spans="1:21">
      <c r="A241">
        <v>3</v>
      </c>
      <c r="B241" t="s">
        <v>12</v>
      </c>
      <c r="C241" s="2">
        <v>45770</v>
      </c>
      <c r="D241">
        <v>47</v>
      </c>
      <c r="E241">
        <v>24</v>
      </c>
      <c r="H241">
        <v>0</v>
      </c>
      <c r="I241">
        <f>SUM(D241,E241,H241)</f>
        <v>71</v>
      </c>
      <c r="J241" t="s">
        <v>53</v>
      </c>
      <c r="L241">
        <v>3</v>
      </c>
      <c r="M241" t="s">
        <v>12</v>
      </c>
      <c r="N241" s="2">
        <v>45771</v>
      </c>
      <c r="O241">
        <v>35</v>
      </c>
      <c r="P241">
        <v>26</v>
      </c>
      <c r="S241">
        <v>0</v>
      </c>
      <c r="T241">
        <f>SUM(O241,P241,S241)</f>
        <v>61</v>
      </c>
      <c r="U241" t="s">
        <v>53</v>
      </c>
    </row>
    <row r="242" spans="1:21">
      <c r="A242">
        <v>4</v>
      </c>
      <c r="B242" t="s">
        <v>13</v>
      </c>
      <c r="C242" s="2">
        <v>45770</v>
      </c>
      <c r="D242">
        <v>20</v>
      </c>
      <c r="E242">
        <v>16</v>
      </c>
      <c r="H242">
        <v>1</v>
      </c>
      <c r="I242">
        <f t="shared" ref="I242:I256" si="30">D242+E242+H242</f>
        <v>37</v>
      </c>
      <c r="J242" t="s">
        <v>52</v>
      </c>
      <c r="L242">
        <v>4</v>
      </c>
      <c r="M242" t="s">
        <v>13</v>
      </c>
      <c r="N242" s="2">
        <v>45771</v>
      </c>
      <c r="O242">
        <v>13</v>
      </c>
      <c r="P242">
        <v>5</v>
      </c>
      <c r="S242">
        <v>3</v>
      </c>
      <c r="T242">
        <f t="shared" ref="T242:T256" si="31">O242+P242+S242</f>
        <v>21</v>
      </c>
      <c r="U242" t="s">
        <v>52</v>
      </c>
    </row>
    <row r="243" spans="1:21">
      <c r="A243">
        <v>5</v>
      </c>
      <c r="B243" t="s">
        <v>14</v>
      </c>
      <c r="C243" s="2">
        <v>45770</v>
      </c>
      <c r="D243">
        <v>80</v>
      </c>
      <c r="E243">
        <v>140</v>
      </c>
      <c r="H243">
        <v>34</v>
      </c>
      <c r="I243">
        <f t="shared" si="30"/>
        <v>254</v>
      </c>
      <c r="J243" t="s">
        <v>54</v>
      </c>
      <c r="L243">
        <v>5</v>
      </c>
      <c r="M243" t="s">
        <v>14</v>
      </c>
      <c r="N243" s="2">
        <v>45771</v>
      </c>
      <c r="O243">
        <v>86</v>
      </c>
      <c r="P243">
        <v>126</v>
      </c>
      <c r="S243">
        <v>33</v>
      </c>
      <c r="T243">
        <f t="shared" si="31"/>
        <v>245</v>
      </c>
      <c r="U243" t="s">
        <v>54</v>
      </c>
    </row>
    <row r="244" spans="1:21">
      <c r="A244">
        <v>6</v>
      </c>
      <c r="B244" t="s">
        <v>15</v>
      </c>
      <c r="C244" s="2">
        <v>45770</v>
      </c>
      <c r="D244">
        <v>65</v>
      </c>
      <c r="E244">
        <v>47</v>
      </c>
      <c r="H244">
        <v>0</v>
      </c>
      <c r="I244">
        <f t="shared" si="30"/>
        <v>112</v>
      </c>
      <c r="J244" t="s">
        <v>55</v>
      </c>
      <c r="L244">
        <v>6</v>
      </c>
      <c r="M244" t="s">
        <v>15</v>
      </c>
      <c r="N244" s="2">
        <v>45771</v>
      </c>
      <c r="O244">
        <v>89</v>
      </c>
      <c r="P244">
        <v>68</v>
      </c>
      <c r="S244">
        <v>0</v>
      </c>
      <c r="T244">
        <f t="shared" si="31"/>
        <v>157</v>
      </c>
      <c r="U244" t="s">
        <v>55</v>
      </c>
    </row>
    <row r="245" spans="1:21">
      <c r="A245">
        <v>7</v>
      </c>
      <c r="B245" t="s">
        <v>16</v>
      </c>
      <c r="C245" s="2">
        <v>45770</v>
      </c>
      <c r="D245">
        <v>0</v>
      </c>
      <c r="E245">
        <v>0</v>
      </c>
      <c r="I245">
        <f t="shared" si="30"/>
        <v>0</v>
      </c>
      <c r="J245" t="s">
        <v>52</v>
      </c>
      <c r="L245">
        <v>7</v>
      </c>
      <c r="M245" t="s">
        <v>16</v>
      </c>
      <c r="N245" s="2">
        <v>45771</v>
      </c>
      <c r="O245">
        <v>0</v>
      </c>
      <c r="P245">
        <v>0</v>
      </c>
      <c r="T245">
        <f t="shared" si="31"/>
        <v>0</v>
      </c>
      <c r="U245" t="s">
        <v>52</v>
      </c>
    </row>
    <row r="246" spans="1:21">
      <c r="A246">
        <v>8</v>
      </c>
      <c r="B246" t="s">
        <v>17</v>
      </c>
      <c r="C246" s="2">
        <v>45770</v>
      </c>
      <c r="D246">
        <v>24</v>
      </c>
      <c r="E246">
        <v>14</v>
      </c>
      <c r="F246">
        <v>1</v>
      </c>
      <c r="G246">
        <v>1</v>
      </c>
      <c r="H246">
        <v>2</v>
      </c>
      <c r="I246">
        <f t="shared" si="30"/>
        <v>40</v>
      </c>
      <c r="J246" t="s">
        <v>50</v>
      </c>
      <c r="L246">
        <v>8</v>
      </c>
      <c r="M246" t="s">
        <v>17</v>
      </c>
      <c r="N246" s="2">
        <v>45771</v>
      </c>
      <c r="O246">
        <v>37</v>
      </c>
      <c r="P246">
        <v>21</v>
      </c>
      <c r="Q246">
        <v>0</v>
      </c>
      <c r="R246">
        <v>0</v>
      </c>
      <c r="S246">
        <v>0</v>
      </c>
      <c r="T246">
        <f t="shared" si="31"/>
        <v>58</v>
      </c>
      <c r="U246" t="s">
        <v>50</v>
      </c>
    </row>
    <row r="247" spans="1:21">
      <c r="A247">
        <v>9</v>
      </c>
      <c r="B247" t="s">
        <v>18</v>
      </c>
      <c r="C247" s="2">
        <v>45770</v>
      </c>
      <c r="D247">
        <v>40</v>
      </c>
      <c r="E247">
        <v>22</v>
      </c>
      <c r="H247">
        <v>11</v>
      </c>
      <c r="I247">
        <f t="shared" si="30"/>
        <v>73</v>
      </c>
      <c r="J247" t="s">
        <v>56</v>
      </c>
      <c r="L247">
        <v>9</v>
      </c>
      <c r="M247" t="s">
        <v>18</v>
      </c>
      <c r="N247" s="2">
        <v>45771</v>
      </c>
      <c r="O247">
        <v>67</v>
      </c>
      <c r="P247">
        <v>21</v>
      </c>
      <c r="S247">
        <v>15</v>
      </c>
      <c r="T247">
        <f t="shared" si="31"/>
        <v>103</v>
      </c>
      <c r="U247" t="s">
        <v>56</v>
      </c>
    </row>
    <row r="248" spans="1:21">
      <c r="A248">
        <v>10</v>
      </c>
      <c r="B248" t="s">
        <v>19</v>
      </c>
      <c r="C248" s="2">
        <v>45770</v>
      </c>
      <c r="D248">
        <v>90</v>
      </c>
      <c r="E248">
        <v>57</v>
      </c>
      <c r="H248">
        <v>14</v>
      </c>
      <c r="I248">
        <f t="shared" si="30"/>
        <v>161</v>
      </c>
      <c r="J248" t="s">
        <v>53</v>
      </c>
      <c r="L248">
        <v>10</v>
      </c>
      <c r="M248" t="s">
        <v>19</v>
      </c>
      <c r="N248" s="2">
        <v>45771</v>
      </c>
      <c r="O248">
        <v>77</v>
      </c>
      <c r="P248">
        <v>65</v>
      </c>
      <c r="S248">
        <v>20</v>
      </c>
      <c r="T248">
        <f t="shared" si="31"/>
        <v>162</v>
      </c>
      <c r="U248" t="s">
        <v>53</v>
      </c>
    </row>
    <row r="249" spans="1:21">
      <c r="A249">
        <v>11</v>
      </c>
      <c r="B249" t="s">
        <v>25</v>
      </c>
      <c r="C249" s="2">
        <v>45770</v>
      </c>
      <c r="D249">
        <v>7</v>
      </c>
      <c r="E249">
        <v>5</v>
      </c>
      <c r="F249">
        <v>2</v>
      </c>
      <c r="G249">
        <v>5</v>
      </c>
      <c r="H249">
        <v>7</v>
      </c>
      <c r="I249">
        <f t="shared" si="30"/>
        <v>19</v>
      </c>
      <c r="J249" t="s">
        <v>54</v>
      </c>
      <c r="L249">
        <v>11</v>
      </c>
      <c r="M249" t="s">
        <v>25</v>
      </c>
      <c r="N249" s="2">
        <v>45771</v>
      </c>
      <c r="O249">
        <v>8</v>
      </c>
      <c r="P249">
        <v>0</v>
      </c>
      <c r="Q249">
        <v>0</v>
      </c>
      <c r="R249">
        <v>0</v>
      </c>
      <c r="S249">
        <v>0</v>
      </c>
      <c r="T249">
        <f t="shared" si="31"/>
        <v>8</v>
      </c>
      <c r="U249" t="s">
        <v>54</v>
      </c>
    </row>
    <row r="250" spans="1:21">
      <c r="A250">
        <v>12</v>
      </c>
      <c r="B250" t="s">
        <v>27</v>
      </c>
      <c r="C250" s="2">
        <v>45770</v>
      </c>
      <c r="D250">
        <v>184</v>
      </c>
      <c r="E250">
        <v>156</v>
      </c>
      <c r="F250">
        <v>27</v>
      </c>
      <c r="G250">
        <v>30</v>
      </c>
      <c r="H250">
        <v>57</v>
      </c>
      <c r="I250">
        <f t="shared" si="30"/>
        <v>397</v>
      </c>
      <c r="J250" t="s">
        <v>56</v>
      </c>
      <c r="L250">
        <v>12</v>
      </c>
      <c r="M250" t="s">
        <v>27</v>
      </c>
      <c r="N250" s="2">
        <v>45771</v>
      </c>
      <c r="O250">
        <v>0</v>
      </c>
      <c r="P250">
        <v>0</v>
      </c>
      <c r="T250">
        <f t="shared" si="31"/>
        <v>0</v>
      </c>
      <c r="U250" t="s">
        <v>56</v>
      </c>
    </row>
    <row r="251" spans="1:21">
      <c r="A251">
        <v>13</v>
      </c>
      <c r="B251" t="s">
        <v>20</v>
      </c>
      <c r="C251" s="2">
        <v>45770</v>
      </c>
      <c r="D251">
        <v>126</v>
      </c>
      <c r="E251">
        <v>102</v>
      </c>
      <c r="F251">
        <v>15</v>
      </c>
      <c r="G251">
        <v>20</v>
      </c>
      <c r="H251">
        <v>35</v>
      </c>
      <c r="I251">
        <f t="shared" si="30"/>
        <v>263</v>
      </c>
      <c r="J251" t="s">
        <v>57</v>
      </c>
      <c r="L251">
        <v>13</v>
      </c>
      <c r="M251" t="s">
        <v>20</v>
      </c>
      <c r="N251" s="2">
        <v>45771</v>
      </c>
      <c r="O251">
        <v>0</v>
      </c>
      <c r="P251">
        <v>0</v>
      </c>
      <c r="T251">
        <f t="shared" si="31"/>
        <v>0</v>
      </c>
      <c r="U251" t="s">
        <v>57</v>
      </c>
    </row>
    <row r="252" spans="1:21">
      <c r="A252">
        <v>14</v>
      </c>
      <c r="B252" t="s">
        <v>32</v>
      </c>
      <c r="C252" s="2">
        <v>45770</v>
      </c>
      <c r="D252">
        <v>59</v>
      </c>
      <c r="E252">
        <v>143</v>
      </c>
      <c r="F252">
        <v>5</v>
      </c>
      <c r="G252">
        <v>8</v>
      </c>
      <c r="H252">
        <v>13</v>
      </c>
      <c r="I252">
        <f t="shared" si="30"/>
        <v>215</v>
      </c>
      <c r="J252" t="s">
        <v>50</v>
      </c>
      <c r="L252">
        <v>14</v>
      </c>
      <c r="M252" t="s">
        <v>32</v>
      </c>
      <c r="N252" s="2">
        <v>45771</v>
      </c>
      <c r="O252">
        <v>64</v>
      </c>
      <c r="P252">
        <v>56</v>
      </c>
      <c r="Q252">
        <v>12</v>
      </c>
      <c r="R252">
        <v>11</v>
      </c>
      <c r="S252">
        <v>23</v>
      </c>
      <c r="T252">
        <f t="shared" si="31"/>
        <v>143</v>
      </c>
      <c r="U252" t="s">
        <v>50</v>
      </c>
    </row>
    <row r="253" spans="1:21">
      <c r="A253">
        <v>15</v>
      </c>
      <c r="B253" t="s">
        <v>48</v>
      </c>
      <c r="C253" s="2">
        <v>45770</v>
      </c>
      <c r="D253">
        <v>0</v>
      </c>
      <c r="E253">
        <v>0</v>
      </c>
      <c r="I253">
        <f t="shared" si="30"/>
        <v>0</v>
      </c>
      <c r="J253" t="s">
        <v>59</v>
      </c>
      <c r="L253">
        <v>15</v>
      </c>
      <c r="M253" t="s">
        <v>48</v>
      </c>
      <c r="N253" s="2">
        <v>45771</v>
      </c>
      <c r="O253">
        <v>0</v>
      </c>
      <c r="P253">
        <v>0</v>
      </c>
      <c r="T253">
        <f t="shared" si="31"/>
        <v>0</v>
      </c>
      <c r="U253" t="s">
        <v>59</v>
      </c>
    </row>
    <row r="254" spans="1:21">
      <c r="A254">
        <v>16</v>
      </c>
      <c r="B254" t="s">
        <v>37</v>
      </c>
      <c r="C254" s="2">
        <v>45770</v>
      </c>
      <c r="D254">
        <v>0</v>
      </c>
      <c r="E254">
        <v>0</v>
      </c>
      <c r="I254">
        <f t="shared" si="30"/>
        <v>0</v>
      </c>
      <c r="J254" t="s">
        <v>55</v>
      </c>
      <c r="L254">
        <v>16</v>
      </c>
      <c r="M254" t="s">
        <v>37</v>
      </c>
      <c r="N254" s="2">
        <v>45771</v>
      </c>
      <c r="O254">
        <v>0</v>
      </c>
      <c r="P254">
        <v>0</v>
      </c>
      <c r="T254">
        <f t="shared" si="31"/>
        <v>0</v>
      </c>
      <c r="U254" t="s">
        <v>55</v>
      </c>
    </row>
    <row r="255" spans="1:21">
      <c r="A255">
        <v>17</v>
      </c>
      <c r="B255" t="s">
        <v>49</v>
      </c>
      <c r="C255" s="2">
        <v>45770</v>
      </c>
      <c r="D255">
        <v>0</v>
      </c>
      <c r="E255">
        <v>0</v>
      </c>
      <c r="I255">
        <f t="shared" si="30"/>
        <v>0</v>
      </c>
      <c r="J255" t="s">
        <v>59</v>
      </c>
      <c r="L255">
        <v>17</v>
      </c>
      <c r="M255" t="s">
        <v>49</v>
      </c>
      <c r="N255" s="2">
        <v>45771</v>
      </c>
      <c r="O255">
        <v>0</v>
      </c>
      <c r="P255">
        <v>0</v>
      </c>
      <c r="T255">
        <f t="shared" si="31"/>
        <v>0</v>
      </c>
      <c r="U255" t="s">
        <v>59</v>
      </c>
    </row>
    <row r="256" spans="1:21">
      <c r="A256">
        <v>18</v>
      </c>
      <c r="B256" t="s">
        <v>21</v>
      </c>
      <c r="C256" s="2">
        <v>45770</v>
      </c>
      <c r="D256">
        <v>0</v>
      </c>
      <c r="E256">
        <v>0</v>
      </c>
      <c r="I256">
        <f t="shared" si="30"/>
        <v>0</v>
      </c>
      <c r="J256" t="s">
        <v>59</v>
      </c>
      <c r="L256">
        <v>18</v>
      </c>
      <c r="M256" t="s">
        <v>21</v>
      </c>
      <c r="N256" s="2">
        <v>45771</v>
      </c>
      <c r="O256">
        <v>0</v>
      </c>
      <c r="P256">
        <v>0</v>
      </c>
      <c r="T256">
        <f t="shared" si="31"/>
        <v>0</v>
      </c>
      <c r="U256" t="s">
        <v>59</v>
      </c>
    </row>
    <row r="257" spans="1:21">
      <c r="A257">
        <v>19</v>
      </c>
      <c r="B257" t="s">
        <v>104</v>
      </c>
      <c r="C257" s="2">
        <v>45770</v>
      </c>
      <c r="D257">
        <v>0</v>
      </c>
      <c r="E257">
        <v>0</v>
      </c>
      <c r="I257">
        <f>D257+E257+H257</f>
        <v>0</v>
      </c>
      <c r="J257" t="s">
        <v>56</v>
      </c>
      <c r="L257">
        <v>19</v>
      </c>
      <c r="M257" t="s">
        <v>104</v>
      </c>
      <c r="N257" s="2">
        <v>45771</v>
      </c>
      <c r="O257">
        <v>0</v>
      </c>
      <c r="P257">
        <v>0</v>
      </c>
      <c r="T257">
        <f>O257+P257+S257</f>
        <v>0</v>
      </c>
      <c r="U257" t="s">
        <v>56</v>
      </c>
    </row>
    <row r="258" spans="1:21">
      <c r="A258">
        <v>20</v>
      </c>
      <c r="B258" t="s">
        <v>26</v>
      </c>
      <c r="C258" s="2">
        <v>45770</v>
      </c>
      <c r="D258">
        <v>0</v>
      </c>
      <c r="E258">
        <v>0</v>
      </c>
      <c r="I258">
        <f t="shared" ref="I258" si="32">D258+E258+H258</f>
        <v>0</v>
      </c>
      <c r="J258" t="s">
        <v>54</v>
      </c>
      <c r="L258">
        <v>20</v>
      </c>
      <c r="M258" t="s">
        <v>26</v>
      </c>
      <c r="N258" s="2">
        <v>45771</v>
      </c>
      <c r="O258">
        <v>0</v>
      </c>
      <c r="P258">
        <v>0</v>
      </c>
      <c r="T258">
        <f t="shared" ref="T258" si="33">O258+P258+S258</f>
        <v>0</v>
      </c>
      <c r="U258" t="s">
        <v>54</v>
      </c>
    </row>
    <row r="259" spans="1:21">
      <c r="B259" t="s">
        <v>8</v>
      </c>
      <c r="D259">
        <f>SUM(D239:D258)</f>
        <v>773</v>
      </c>
      <c r="E259">
        <f>SUM(E239:E258)</f>
        <v>749</v>
      </c>
      <c r="I259">
        <f>I239+I240+I241+I242+I243+I244+I245+I246+I247+I248+I249+I250+I251+I252+I253+I254+I255+I256+I257+I258</f>
        <v>1710</v>
      </c>
      <c r="M259" t="s">
        <v>8</v>
      </c>
      <c r="O259">
        <f>SUM(O239:O258)</f>
        <v>517</v>
      </c>
      <c r="P259">
        <f>SUM(P239:P258)</f>
        <v>419</v>
      </c>
      <c r="T259">
        <f>T239+T240+T241+T242+T243+T244+T245+T246+T247+T248+T249+T250+T251+T252+T253+T254+T255+T256+T257+T258</f>
        <v>1039</v>
      </c>
    </row>
    <row r="262" spans="1:21">
      <c r="B262" t="s">
        <v>38</v>
      </c>
      <c r="C262" t="s">
        <v>202</v>
      </c>
      <c r="M262" t="s">
        <v>38</v>
      </c>
      <c r="N262" t="s">
        <v>203</v>
      </c>
    </row>
    <row r="263" spans="1:21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t="s">
        <v>7</v>
      </c>
      <c r="I263" t="s">
        <v>8</v>
      </c>
      <c r="J263" t="s">
        <v>51</v>
      </c>
      <c r="L263" t="s">
        <v>0</v>
      </c>
      <c r="M263" t="s">
        <v>1</v>
      </c>
      <c r="N263" t="s">
        <v>2</v>
      </c>
      <c r="O263" t="s">
        <v>3</v>
      </c>
      <c r="P263" t="s">
        <v>4</v>
      </c>
      <c r="Q263" t="s">
        <v>5</v>
      </c>
      <c r="R263" t="s">
        <v>6</v>
      </c>
      <c r="S263" t="s">
        <v>7</v>
      </c>
      <c r="T263" t="s">
        <v>8</v>
      </c>
      <c r="U263" t="s">
        <v>51</v>
      </c>
    </row>
    <row r="264" spans="1:21">
      <c r="A264">
        <v>1</v>
      </c>
      <c r="B264" t="s">
        <v>9</v>
      </c>
      <c r="C264" s="2">
        <v>45772</v>
      </c>
      <c r="D264">
        <v>0</v>
      </c>
      <c r="E264">
        <v>0</v>
      </c>
      <c r="I264">
        <f>D264+E264+H264</f>
        <v>0</v>
      </c>
      <c r="J264" t="s">
        <v>50</v>
      </c>
      <c r="L264">
        <v>1</v>
      </c>
      <c r="M264" t="s">
        <v>9</v>
      </c>
      <c r="N264" s="2">
        <v>45773</v>
      </c>
      <c r="O264">
        <v>0</v>
      </c>
      <c r="P264">
        <v>0</v>
      </c>
      <c r="T264">
        <f>O264+P264+S264</f>
        <v>0</v>
      </c>
      <c r="U264" t="s">
        <v>50</v>
      </c>
    </row>
    <row r="265" spans="1:21">
      <c r="A265">
        <v>2</v>
      </c>
      <c r="B265" t="s">
        <v>11</v>
      </c>
      <c r="C265" s="2">
        <v>45772</v>
      </c>
      <c r="D265">
        <v>22</v>
      </c>
      <c r="E265">
        <v>8</v>
      </c>
      <c r="F265">
        <v>0</v>
      </c>
      <c r="G265">
        <v>0</v>
      </c>
      <c r="H265">
        <v>0</v>
      </c>
      <c r="I265">
        <f>D265+E265+H265</f>
        <v>30</v>
      </c>
      <c r="J265" t="s">
        <v>52</v>
      </c>
      <c r="L265">
        <v>2</v>
      </c>
      <c r="M265" t="s">
        <v>11</v>
      </c>
      <c r="N265" s="2">
        <v>45773</v>
      </c>
      <c r="O265">
        <v>18</v>
      </c>
      <c r="P265">
        <v>3</v>
      </c>
      <c r="Q265">
        <v>5</v>
      </c>
      <c r="R265">
        <v>7</v>
      </c>
      <c r="S265">
        <v>12</v>
      </c>
      <c r="T265">
        <f>O265+P265+S265</f>
        <v>33</v>
      </c>
      <c r="U265" t="s">
        <v>52</v>
      </c>
    </row>
    <row r="266" spans="1:21">
      <c r="A266">
        <v>3</v>
      </c>
      <c r="B266" t="s">
        <v>12</v>
      </c>
      <c r="C266" s="2">
        <v>45772</v>
      </c>
      <c r="D266">
        <v>48</v>
      </c>
      <c r="E266">
        <v>35</v>
      </c>
      <c r="H266">
        <v>0</v>
      </c>
      <c r="I266">
        <f>SUM(D266,E266,H266)</f>
        <v>83</v>
      </c>
      <c r="J266" t="s">
        <v>53</v>
      </c>
      <c r="L266">
        <v>3</v>
      </c>
      <c r="M266" t="s">
        <v>12</v>
      </c>
      <c r="N266" s="2">
        <v>45773</v>
      </c>
      <c r="O266">
        <v>27</v>
      </c>
      <c r="P266">
        <v>32</v>
      </c>
      <c r="S266">
        <v>0</v>
      </c>
      <c r="T266">
        <f>SUM(O266,P266,S266)</f>
        <v>59</v>
      </c>
      <c r="U266" t="s">
        <v>53</v>
      </c>
    </row>
    <row r="267" spans="1:21">
      <c r="A267">
        <v>4</v>
      </c>
      <c r="B267" t="s">
        <v>13</v>
      </c>
      <c r="C267" s="2">
        <v>45772</v>
      </c>
      <c r="D267">
        <v>29</v>
      </c>
      <c r="E267">
        <v>15</v>
      </c>
      <c r="H267">
        <v>3</v>
      </c>
      <c r="I267">
        <f t="shared" ref="I267:I281" si="34">D267+E267+H267</f>
        <v>47</v>
      </c>
      <c r="J267" t="s">
        <v>52</v>
      </c>
      <c r="L267">
        <v>4</v>
      </c>
      <c r="M267" t="s">
        <v>13</v>
      </c>
      <c r="N267" s="2">
        <v>45773</v>
      </c>
      <c r="O267">
        <v>26</v>
      </c>
      <c r="P267">
        <v>6</v>
      </c>
      <c r="S267">
        <v>2</v>
      </c>
      <c r="T267">
        <f t="shared" ref="T267:T281" si="35">O267+P267+S267</f>
        <v>34</v>
      </c>
      <c r="U267" t="s">
        <v>52</v>
      </c>
    </row>
    <row r="268" spans="1:21">
      <c r="A268">
        <v>5</v>
      </c>
      <c r="B268" t="s">
        <v>14</v>
      </c>
      <c r="C268" s="2">
        <v>45772</v>
      </c>
      <c r="D268">
        <v>66</v>
      </c>
      <c r="E268">
        <v>98</v>
      </c>
      <c r="H268">
        <v>37</v>
      </c>
      <c r="I268">
        <f t="shared" si="34"/>
        <v>201</v>
      </c>
      <c r="J268" t="s">
        <v>54</v>
      </c>
      <c r="L268">
        <v>5</v>
      </c>
      <c r="M268" t="s">
        <v>14</v>
      </c>
      <c r="N268" s="2">
        <v>45773</v>
      </c>
      <c r="O268">
        <v>28</v>
      </c>
      <c r="P268">
        <v>32</v>
      </c>
      <c r="S268">
        <v>2</v>
      </c>
      <c r="T268">
        <f t="shared" si="35"/>
        <v>62</v>
      </c>
      <c r="U268" t="s">
        <v>54</v>
      </c>
    </row>
    <row r="269" spans="1:21">
      <c r="A269">
        <v>6</v>
      </c>
      <c r="B269" t="s">
        <v>15</v>
      </c>
      <c r="C269" s="2">
        <v>45772</v>
      </c>
      <c r="D269">
        <v>99</v>
      </c>
      <c r="E269">
        <v>90</v>
      </c>
      <c r="H269">
        <v>0</v>
      </c>
      <c r="I269">
        <f t="shared" si="34"/>
        <v>189</v>
      </c>
      <c r="J269" t="s">
        <v>55</v>
      </c>
      <c r="L269">
        <v>6</v>
      </c>
      <c r="M269" t="s">
        <v>15</v>
      </c>
      <c r="N269" s="2">
        <v>45773</v>
      </c>
      <c r="O269">
        <v>117</v>
      </c>
      <c r="P269">
        <v>69</v>
      </c>
      <c r="S269">
        <v>0</v>
      </c>
      <c r="T269">
        <f t="shared" si="35"/>
        <v>186</v>
      </c>
      <c r="U269" t="s">
        <v>55</v>
      </c>
    </row>
    <row r="270" spans="1:21">
      <c r="A270">
        <v>7</v>
      </c>
      <c r="B270" t="s">
        <v>16</v>
      </c>
      <c r="C270" s="2">
        <v>45772</v>
      </c>
      <c r="D270">
        <v>0</v>
      </c>
      <c r="E270">
        <v>0</v>
      </c>
      <c r="I270">
        <f t="shared" si="34"/>
        <v>0</v>
      </c>
      <c r="J270" t="s">
        <v>52</v>
      </c>
      <c r="L270">
        <v>7</v>
      </c>
      <c r="M270" t="s">
        <v>16</v>
      </c>
      <c r="N270" s="2">
        <v>45773</v>
      </c>
      <c r="O270">
        <v>0</v>
      </c>
      <c r="P270">
        <v>0</v>
      </c>
      <c r="T270">
        <f t="shared" si="35"/>
        <v>0</v>
      </c>
      <c r="U270" t="s">
        <v>52</v>
      </c>
    </row>
    <row r="271" spans="1:21">
      <c r="A271">
        <v>8</v>
      </c>
      <c r="B271" t="s">
        <v>17</v>
      </c>
      <c r="C271" s="2">
        <v>45772</v>
      </c>
      <c r="D271">
        <v>0</v>
      </c>
      <c r="E271">
        <v>0</v>
      </c>
      <c r="I271">
        <f t="shared" si="34"/>
        <v>0</v>
      </c>
      <c r="J271" t="s">
        <v>50</v>
      </c>
      <c r="L271">
        <v>8</v>
      </c>
      <c r="M271" t="s">
        <v>17</v>
      </c>
      <c r="N271" s="2">
        <v>45773</v>
      </c>
      <c r="O271">
        <v>24</v>
      </c>
      <c r="P271">
        <v>14</v>
      </c>
      <c r="S271">
        <v>1</v>
      </c>
      <c r="T271">
        <f t="shared" si="35"/>
        <v>39</v>
      </c>
      <c r="U271" t="s">
        <v>50</v>
      </c>
    </row>
    <row r="272" spans="1:21">
      <c r="A272">
        <v>9</v>
      </c>
      <c r="B272" t="s">
        <v>18</v>
      </c>
      <c r="C272" s="2">
        <v>45772</v>
      </c>
      <c r="D272">
        <v>41</v>
      </c>
      <c r="E272">
        <v>0</v>
      </c>
      <c r="H272">
        <v>4</v>
      </c>
      <c r="I272">
        <f t="shared" si="34"/>
        <v>45</v>
      </c>
      <c r="J272" t="s">
        <v>56</v>
      </c>
      <c r="L272">
        <v>9</v>
      </c>
      <c r="M272" t="s">
        <v>18</v>
      </c>
      <c r="N272" s="2">
        <v>45773</v>
      </c>
      <c r="O272">
        <v>35</v>
      </c>
      <c r="P272">
        <v>17</v>
      </c>
      <c r="S272">
        <v>18</v>
      </c>
      <c r="T272">
        <f t="shared" si="35"/>
        <v>70</v>
      </c>
      <c r="U272" t="s">
        <v>56</v>
      </c>
    </row>
    <row r="273" spans="1:21">
      <c r="A273">
        <v>10</v>
      </c>
      <c r="B273" t="s">
        <v>19</v>
      </c>
      <c r="C273" s="2">
        <v>45772</v>
      </c>
      <c r="D273">
        <v>96</v>
      </c>
      <c r="E273">
        <v>58</v>
      </c>
      <c r="H273">
        <v>38</v>
      </c>
      <c r="I273">
        <f t="shared" si="34"/>
        <v>192</v>
      </c>
      <c r="J273" t="s">
        <v>53</v>
      </c>
      <c r="L273">
        <v>10</v>
      </c>
      <c r="M273" t="s">
        <v>19</v>
      </c>
      <c r="N273" s="2">
        <v>45773</v>
      </c>
      <c r="O273">
        <v>78</v>
      </c>
      <c r="P273">
        <v>66</v>
      </c>
      <c r="S273">
        <v>21</v>
      </c>
      <c r="T273">
        <f t="shared" si="35"/>
        <v>165</v>
      </c>
      <c r="U273" t="s">
        <v>53</v>
      </c>
    </row>
    <row r="274" spans="1:21">
      <c r="A274">
        <v>11</v>
      </c>
      <c r="B274" t="s">
        <v>25</v>
      </c>
      <c r="C274" s="2">
        <v>45772</v>
      </c>
      <c r="D274">
        <v>9</v>
      </c>
      <c r="E274">
        <v>3</v>
      </c>
      <c r="F274">
        <v>0</v>
      </c>
      <c r="G274">
        <v>2</v>
      </c>
      <c r="H274">
        <v>2</v>
      </c>
      <c r="I274">
        <f t="shared" si="34"/>
        <v>14</v>
      </c>
      <c r="J274" t="s">
        <v>54</v>
      </c>
      <c r="L274">
        <v>11</v>
      </c>
      <c r="M274" t="s">
        <v>25</v>
      </c>
      <c r="N274" s="2">
        <v>45773</v>
      </c>
      <c r="O274">
        <v>4</v>
      </c>
      <c r="P274">
        <v>1</v>
      </c>
      <c r="Q274">
        <v>4</v>
      </c>
      <c r="R274">
        <v>3</v>
      </c>
      <c r="S274">
        <v>7</v>
      </c>
      <c r="T274">
        <f t="shared" si="35"/>
        <v>12</v>
      </c>
      <c r="U274" t="s">
        <v>54</v>
      </c>
    </row>
    <row r="275" spans="1:21">
      <c r="A275">
        <v>12</v>
      </c>
      <c r="B275" t="s">
        <v>27</v>
      </c>
      <c r="C275" s="2">
        <v>45772</v>
      </c>
      <c r="D275">
        <v>195</v>
      </c>
      <c r="E275">
        <v>200</v>
      </c>
      <c r="F275">
        <v>30</v>
      </c>
      <c r="G275">
        <v>16</v>
      </c>
      <c r="H275">
        <v>46</v>
      </c>
      <c r="I275">
        <f t="shared" si="34"/>
        <v>441</v>
      </c>
      <c r="J275" t="s">
        <v>56</v>
      </c>
      <c r="L275">
        <v>12</v>
      </c>
      <c r="M275" t="s">
        <v>27</v>
      </c>
      <c r="N275" s="2">
        <v>45773</v>
      </c>
      <c r="O275">
        <v>251</v>
      </c>
      <c r="P275">
        <v>166</v>
      </c>
      <c r="Q275">
        <v>45</v>
      </c>
      <c r="R275">
        <v>31</v>
      </c>
      <c r="S275">
        <v>76</v>
      </c>
      <c r="T275">
        <f t="shared" si="35"/>
        <v>493</v>
      </c>
      <c r="U275" t="s">
        <v>56</v>
      </c>
    </row>
    <row r="276" spans="1:21">
      <c r="A276">
        <v>13</v>
      </c>
      <c r="B276" t="s">
        <v>20</v>
      </c>
      <c r="C276" s="2">
        <v>45772</v>
      </c>
      <c r="D276">
        <v>118</v>
      </c>
      <c r="E276">
        <v>111</v>
      </c>
      <c r="F276">
        <v>30</v>
      </c>
      <c r="G276">
        <v>20</v>
      </c>
      <c r="H276">
        <v>50</v>
      </c>
      <c r="I276">
        <f t="shared" si="34"/>
        <v>279</v>
      </c>
      <c r="J276" t="s">
        <v>57</v>
      </c>
      <c r="L276">
        <v>13</v>
      </c>
      <c r="M276" t="s">
        <v>20</v>
      </c>
      <c r="N276" s="2">
        <v>45773</v>
      </c>
      <c r="O276">
        <v>0</v>
      </c>
      <c r="P276">
        <v>0</v>
      </c>
      <c r="T276">
        <f t="shared" si="35"/>
        <v>0</v>
      </c>
      <c r="U276" t="s">
        <v>57</v>
      </c>
    </row>
    <row r="277" spans="1:21">
      <c r="A277">
        <v>14</v>
      </c>
      <c r="B277" t="s">
        <v>32</v>
      </c>
      <c r="C277" s="2">
        <v>45772</v>
      </c>
      <c r="D277">
        <v>0</v>
      </c>
      <c r="E277">
        <v>0</v>
      </c>
      <c r="I277">
        <f t="shared" si="34"/>
        <v>0</v>
      </c>
      <c r="J277" t="s">
        <v>50</v>
      </c>
      <c r="L277">
        <v>14</v>
      </c>
      <c r="M277" t="s">
        <v>32</v>
      </c>
      <c r="N277" s="2">
        <v>45773</v>
      </c>
      <c r="O277">
        <v>19</v>
      </c>
      <c r="P277">
        <v>27</v>
      </c>
      <c r="Q277">
        <v>9</v>
      </c>
      <c r="R277">
        <v>18</v>
      </c>
      <c r="S277">
        <v>27</v>
      </c>
      <c r="T277">
        <f t="shared" si="35"/>
        <v>73</v>
      </c>
      <c r="U277" t="s">
        <v>50</v>
      </c>
    </row>
    <row r="278" spans="1:21">
      <c r="A278">
        <v>15</v>
      </c>
      <c r="B278" t="s">
        <v>48</v>
      </c>
      <c r="C278" s="2">
        <v>45772</v>
      </c>
      <c r="D278">
        <v>0</v>
      </c>
      <c r="E278">
        <v>0</v>
      </c>
      <c r="I278">
        <f t="shared" si="34"/>
        <v>0</v>
      </c>
      <c r="J278" t="s">
        <v>59</v>
      </c>
      <c r="L278">
        <v>15</v>
      </c>
      <c r="M278" t="s">
        <v>48</v>
      </c>
      <c r="N278" s="2">
        <v>45773</v>
      </c>
      <c r="O278">
        <v>0</v>
      </c>
      <c r="P278">
        <v>0</v>
      </c>
      <c r="T278">
        <f t="shared" si="35"/>
        <v>0</v>
      </c>
      <c r="U278" t="s">
        <v>59</v>
      </c>
    </row>
    <row r="279" spans="1:21">
      <c r="A279">
        <v>16</v>
      </c>
      <c r="B279" t="s">
        <v>37</v>
      </c>
      <c r="C279" s="2">
        <v>45772</v>
      </c>
      <c r="D279">
        <v>0</v>
      </c>
      <c r="E279">
        <v>0</v>
      </c>
      <c r="I279">
        <f t="shared" si="34"/>
        <v>0</v>
      </c>
      <c r="J279" t="s">
        <v>55</v>
      </c>
      <c r="L279">
        <v>16</v>
      </c>
      <c r="M279" t="s">
        <v>37</v>
      </c>
      <c r="N279" s="2">
        <v>45773</v>
      </c>
      <c r="O279">
        <v>12</v>
      </c>
      <c r="P279">
        <v>14</v>
      </c>
      <c r="Q279">
        <v>1</v>
      </c>
      <c r="R279">
        <v>1</v>
      </c>
      <c r="S279">
        <v>2</v>
      </c>
      <c r="T279">
        <f t="shared" si="35"/>
        <v>28</v>
      </c>
      <c r="U279" t="s">
        <v>55</v>
      </c>
    </row>
    <row r="280" spans="1:21">
      <c r="A280">
        <v>17</v>
      </c>
      <c r="B280" t="s">
        <v>49</v>
      </c>
      <c r="C280" s="2">
        <v>45772</v>
      </c>
      <c r="D280">
        <v>0</v>
      </c>
      <c r="E280">
        <v>0</v>
      </c>
      <c r="I280">
        <f t="shared" si="34"/>
        <v>0</v>
      </c>
      <c r="J280" t="s">
        <v>59</v>
      </c>
      <c r="L280">
        <v>17</v>
      </c>
      <c r="M280" t="s">
        <v>49</v>
      </c>
      <c r="N280" s="2">
        <v>45773</v>
      </c>
      <c r="O280">
        <v>0</v>
      </c>
      <c r="P280">
        <v>0</v>
      </c>
      <c r="T280">
        <f t="shared" si="35"/>
        <v>0</v>
      </c>
      <c r="U280" t="s">
        <v>59</v>
      </c>
    </row>
    <row r="281" spans="1:21">
      <c r="A281">
        <v>18</v>
      </c>
      <c r="B281" t="s">
        <v>21</v>
      </c>
      <c r="C281" s="2">
        <v>45772</v>
      </c>
      <c r="D281">
        <v>0</v>
      </c>
      <c r="E281">
        <v>0</v>
      </c>
      <c r="I281">
        <f t="shared" si="34"/>
        <v>0</v>
      </c>
      <c r="J281" t="s">
        <v>59</v>
      </c>
      <c r="L281">
        <v>18</v>
      </c>
      <c r="M281" t="s">
        <v>21</v>
      </c>
      <c r="N281" s="2">
        <v>45773</v>
      </c>
      <c r="O281">
        <v>0</v>
      </c>
      <c r="P281">
        <v>0</v>
      </c>
      <c r="T281">
        <f t="shared" si="35"/>
        <v>0</v>
      </c>
      <c r="U281" t="s">
        <v>59</v>
      </c>
    </row>
    <row r="282" spans="1:21">
      <c r="A282">
        <v>19</v>
      </c>
      <c r="B282" t="s">
        <v>104</v>
      </c>
      <c r="C282" s="2">
        <v>45772</v>
      </c>
      <c r="D282">
        <v>0</v>
      </c>
      <c r="E282">
        <v>0</v>
      </c>
      <c r="I282">
        <f>D282+E282+H282</f>
        <v>0</v>
      </c>
      <c r="J282" t="s">
        <v>56</v>
      </c>
      <c r="L282">
        <v>19</v>
      </c>
      <c r="M282" t="s">
        <v>104</v>
      </c>
      <c r="N282" s="2">
        <v>45773</v>
      </c>
      <c r="O282">
        <v>0</v>
      </c>
      <c r="P282">
        <v>0</v>
      </c>
      <c r="T282">
        <f>O282+P282+S282</f>
        <v>0</v>
      </c>
      <c r="U282" t="s">
        <v>56</v>
      </c>
    </row>
    <row r="283" spans="1:21">
      <c r="A283">
        <v>20</v>
      </c>
      <c r="B283" t="s">
        <v>26</v>
      </c>
      <c r="C283" s="2">
        <v>45772</v>
      </c>
      <c r="D283">
        <v>0</v>
      </c>
      <c r="E283">
        <v>0</v>
      </c>
      <c r="I283">
        <f t="shared" ref="I283" si="36">D283+E283+H283</f>
        <v>0</v>
      </c>
      <c r="J283" t="s">
        <v>54</v>
      </c>
      <c r="L283">
        <v>20</v>
      </c>
      <c r="M283" t="s">
        <v>26</v>
      </c>
      <c r="N283" s="2">
        <v>45773</v>
      </c>
      <c r="O283">
        <v>0</v>
      </c>
      <c r="P283">
        <v>0</v>
      </c>
      <c r="T283">
        <f t="shared" ref="T283" si="37">O283+P283+S283</f>
        <v>0</v>
      </c>
      <c r="U283" t="s">
        <v>54</v>
      </c>
    </row>
    <row r="284" spans="1:21">
      <c r="B284" t="s">
        <v>8</v>
      </c>
      <c r="D284">
        <f>SUM(D264:D283)</f>
        <v>723</v>
      </c>
      <c r="E284">
        <f>SUM(E264:E283)</f>
        <v>618</v>
      </c>
      <c r="I284">
        <f>I264+I265+I266+I267+I268+I269+I270+I271+I272+I273+I274+I275+I276+I277+I278+I279+I280+I281+I282+I283</f>
        <v>1521</v>
      </c>
      <c r="M284" t="s">
        <v>8</v>
      </c>
      <c r="O284">
        <f>SUM(O264:O283)</f>
        <v>639</v>
      </c>
      <c r="P284">
        <f>SUM(P264:P283)</f>
        <v>447</v>
      </c>
      <c r="T284">
        <f>T264+T265+T266+T267+T268+T269+T270+T271+T272+T273+T274+T275+T276+T277+T278+T279+T280+T281+T282+T283</f>
        <v>1254</v>
      </c>
    </row>
    <row r="286" spans="1:21">
      <c r="B286" t="s">
        <v>38</v>
      </c>
      <c r="C286" t="s">
        <v>204</v>
      </c>
      <c r="M286" t="s">
        <v>38</v>
      </c>
      <c r="N286" t="s">
        <v>205</v>
      </c>
    </row>
    <row r="287" spans="1:21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51</v>
      </c>
      <c r="L287" t="s">
        <v>0</v>
      </c>
      <c r="M287" t="s">
        <v>1</v>
      </c>
      <c r="N287" t="s">
        <v>2</v>
      </c>
      <c r="O287" t="s">
        <v>3</v>
      </c>
      <c r="P287" t="s">
        <v>4</v>
      </c>
      <c r="Q287" t="s">
        <v>5</v>
      </c>
      <c r="R287" t="s">
        <v>6</v>
      </c>
      <c r="S287" t="s">
        <v>7</v>
      </c>
      <c r="T287" t="s">
        <v>8</v>
      </c>
      <c r="U287" t="s">
        <v>51</v>
      </c>
    </row>
    <row r="288" spans="1:21">
      <c r="A288">
        <v>1</v>
      </c>
      <c r="B288" t="s">
        <v>9</v>
      </c>
      <c r="C288" s="2">
        <v>45774</v>
      </c>
      <c r="D288">
        <v>25</v>
      </c>
      <c r="E288">
        <v>24</v>
      </c>
      <c r="F288">
        <v>18</v>
      </c>
      <c r="G288">
        <v>42</v>
      </c>
      <c r="H288">
        <v>60</v>
      </c>
      <c r="I288">
        <f>D288+E288+H288</f>
        <v>109</v>
      </c>
      <c r="J288" t="s">
        <v>50</v>
      </c>
      <c r="L288">
        <v>1</v>
      </c>
      <c r="M288" t="s">
        <v>9</v>
      </c>
      <c r="N288" s="2">
        <v>45775</v>
      </c>
      <c r="O288">
        <v>33</v>
      </c>
      <c r="P288">
        <v>30</v>
      </c>
      <c r="Q288">
        <v>17</v>
      </c>
      <c r="R288">
        <v>30</v>
      </c>
      <c r="S288">
        <v>47</v>
      </c>
      <c r="T288">
        <f>O288+P288+S288</f>
        <v>110</v>
      </c>
      <c r="U288" t="s">
        <v>50</v>
      </c>
    </row>
    <row r="289" spans="1:21">
      <c r="A289">
        <v>2</v>
      </c>
      <c r="B289" t="s">
        <v>11</v>
      </c>
      <c r="C289" s="2">
        <v>45774</v>
      </c>
      <c r="D289">
        <v>16</v>
      </c>
      <c r="E289">
        <v>13</v>
      </c>
      <c r="F289">
        <v>6</v>
      </c>
      <c r="G289">
        <v>4</v>
      </c>
      <c r="H289">
        <v>10</v>
      </c>
      <c r="I289">
        <f>D289+E289+H289</f>
        <v>39</v>
      </c>
      <c r="J289" t="s">
        <v>52</v>
      </c>
      <c r="L289">
        <v>2</v>
      </c>
      <c r="M289" t="s">
        <v>11</v>
      </c>
      <c r="N289" s="2">
        <v>45775</v>
      </c>
      <c r="O289">
        <v>15</v>
      </c>
      <c r="P289">
        <v>14</v>
      </c>
      <c r="Q289">
        <v>5</v>
      </c>
      <c r="R289">
        <v>2</v>
      </c>
      <c r="S289">
        <v>7</v>
      </c>
      <c r="T289">
        <f>O289+P289+S289</f>
        <v>36</v>
      </c>
      <c r="U289" t="s">
        <v>52</v>
      </c>
    </row>
    <row r="290" spans="1:21">
      <c r="A290">
        <v>3</v>
      </c>
      <c r="B290" t="s">
        <v>12</v>
      </c>
      <c r="C290" s="2">
        <v>45774</v>
      </c>
      <c r="D290">
        <v>35</v>
      </c>
      <c r="E290">
        <v>37</v>
      </c>
      <c r="H290">
        <v>0</v>
      </c>
      <c r="I290">
        <f>SUM(D290,E290,H290)</f>
        <v>72</v>
      </c>
      <c r="J290" t="s">
        <v>53</v>
      </c>
      <c r="L290">
        <v>3</v>
      </c>
      <c r="M290" t="s">
        <v>12</v>
      </c>
      <c r="N290" s="2">
        <v>45775</v>
      </c>
      <c r="O290">
        <v>59</v>
      </c>
      <c r="P290">
        <v>43</v>
      </c>
      <c r="S290">
        <v>0</v>
      </c>
      <c r="T290">
        <f>SUM(O290,P290,S290)</f>
        <v>102</v>
      </c>
      <c r="U290" t="s">
        <v>53</v>
      </c>
    </row>
    <row r="291" spans="1:21">
      <c r="A291">
        <v>4</v>
      </c>
      <c r="B291" t="s">
        <v>13</v>
      </c>
      <c r="C291" s="2">
        <v>45774</v>
      </c>
      <c r="D291">
        <v>21</v>
      </c>
      <c r="E291">
        <v>13</v>
      </c>
      <c r="H291">
        <v>2</v>
      </c>
      <c r="I291">
        <f t="shared" ref="I291:I305" si="38">D291+E291+H291</f>
        <v>36</v>
      </c>
      <c r="J291" t="s">
        <v>52</v>
      </c>
      <c r="L291">
        <v>4</v>
      </c>
      <c r="M291" t="s">
        <v>13</v>
      </c>
      <c r="N291" s="2">
        <v>45775</v>
      </c>
      <c r="O291">
        <v>28</v>
      </c>
      <c r="P291">
        <v>12</v>
      </c>
      <c r="S291">
        <v>1</v>
      </c>
      <c r="T291">
        <f t="shared" ref="T291:T305" si="39">O291+P291+S291</f>
        <v>41</v>
      </c>
      <c r="U291" t="s">
        <v>52</v>
      </c>
    </row>
    <row r="292" spans="1:21">
      <c r="A292">
        <v>5</v>
      </c>
      <c r="B292" t="s">
        <v>14</v>
      </c>
      <c r="C292" s="2">
        <v>45774</v>
      </c>
      <c r="D292">
        <v>36</v>
      </c>
      <c r="E292">
        <v>39</v>
      </c>
      <c r="H292">
        <v>10</v>
      </c>
      <c r="I292">
        <f t="shared" si="38"/>
        <v>85</v>
      </c>
      <c r="J292" t="s">
        <v>54</v>
      </c>
      <c r="L292">
        <v>5</v>
      </c>
      <c r="M292" t="s">
        <v>14</v>
      </c>
      <c r="N292" s="2">
        <v>45775</v>
      </c>
      <c r="O292">
        <v>115</v>
      </c>
      <c r="P292">
        <v>390</v>
      </c>
      <c r="S292">
        <v>62</v>
      </c>
      <c r="T292">
        <f t="shared" si="39"/>
        <v>567</v>
      </c>
      <c r="U292" t="s">
        <v>54</v>
      </c>
    </row>
    <row r="293" spans="1:21">
      <c r="A293">
        <v>6</v>
      </c>
      <c r="B293" t="s">
        <v>15</v>
      </c>
      <c r="C293" s="2">
        <v>45774</v>
      </c>
      <c r="D293">
        <v>86</v>
      </c>
      <c r="E293">
        <v>81</v>
      </c>
      <c r="H293">
        <v>0</v>
      </c>
      <c r="I293">
        <f t="shared" si="38"/>
        <v>167</v>
      </c>
      <c r="J293" t="s">
        <v>55</v>
      </c>
      <c r="L293">
        <v>6</v>
      </c>
      <c r="M293" t="s">
        <v>15</v>
      </c>
      <c r="N293" s="2">
        <v>45775</v>
      </c>
      <c r="O293">
        <v>90</v>
      </c>
      <c r="P293">
        <v>50</v>
      </c>
      <c r="S293">
        <v>0</v>
      </c>
      <c r="T293">
        <f t="shared" si="39"/>
        <v>140</v>
      </c>
      <c r="U293" t="s">
        <v>55</v>
      </c>
    </row>
    <row r="294" spans="1:21">
      <c r="A294">
        <v>7</v>
      </c>
      <c r="B294" t="s">
        <v>16</v>
      </c>
      <c r="C294" s="2">
        <v>45774</v>
      </c>
      <c r="D294">
        <v>0</v>
      </c>
      <c r="E294">
        <v>0</v>
      </c>
      <c r="I294">
        <f t="shared" si="38"/>
        <v>0</v>
      </c>
      <c r="J294" t="s">
        <v>52</v>
      </c>
      <c r="L294">
        <v>7</v>
      </c>
      <c r="M294" t="s">
        <v>16</v>
      </c>
      <c r="N294" s="2">
        <v>45775</v>
      </c>
      <c r="O294">
        <v>0</v>
      </c>
      <c r="P294">
        <v>0</v>
      </c>
      <c r="T294">
        <f t="shared" si="39"/>
        <v>0</v>
      </c>
      <c r="U294" t="s">
        <v>52</v>
      </c>
    </row>
    <row r="295" spans="1:21">
      <c r="A295">
        <v>8</v>
      </c>
      <c r="B295" t="s">
        <v>17</v>
      </c>
      <c r="C295" s="2">
        <v>45774</v>
      </c>
      <c r="D295">
        <v>48</v>
      </c>
      <c r="E295">
        <v>30</v>
      </c>
      <c r="H295">
        <v>8</v>
      </c>
      <c r="I295">
        <f t="shared" si="38"/>
        <v>86</v>
      </c>
      <c r="J295" t="s">
        <v>50</v>
      </c>
      <c r="L295">
        <v>8</v>
      </c>
      <c r="M295" t="s">
        <v>17</v>
      </c>
      <c r="N295" s="2">
        <v>45775</v>
      </c>
      <c r="O295">
        <v>29</v>
      </c>
      <c r="P295">
        <v>20</v>
      </c>
      <c r="Q295">
        <v>0</v>
      </c>
      <c r="R295">
        <v>2</v>
      </c>
      <c r="S295">
        <v>2</v>
      </c>
      <c r="T295">
        <f t="shared" si="39"/>
        <v>51</v>
      </c>
      <c r="U295" t="s">
        <v>50</v>
      </c>
    </row>
    <row r="296" spans="1:21">
      <c r="A296">
        <v>9</v>
      </c>
      <c r="B296" t="s">
        <v>18</v>
      </c>
      <c r="C296" s="2">
        <v>45774</v>
      </c>
      <c r="D296">
        <v>0</v>
      </c>
      <c r="E296">
        <v>0</v>
      </c>
      <c r="I296">
        <f t="shared" si="38"/>
        <v>0</v>
      </c>
      <c r="J296" t="s">
        <v>56</v>
      </c>
      <c r="L296">
        <v>9</v>
      </c>
      <c r="M296" t="s">
        <v>18</v>
      </c>
      <c r="N296" s="2">
        <v>45775</v>
      </c>
      <c r="O296">
        <v>30</v>
      </c>
      <c r="P296">
        <v>17</v>
      </c>
      <c r="S296">
        <v>9</v>
      </c>
      <c r="T296">
        <f t="shared" si="39"/>
        <v>56</v>
      </c>
      <c r="U296" t="s">
        <v>56</v>
      </c>
    </row>
    <row r="297" spans="1:21">
      <c r="A297">
        <v>10</v>
      </c>
      <c r="B297" t="s">
        <v>19</v>
      </c>
      <c r="C297" s="2">
        <v>45774</v>
      </c>
      <c r="D297">
        <v>53</v>
      </c>
      <c r="E297">
        <v>28</v>
      </c>
      <c r="H297">
        <v>18</v>
      </c>
      <c r="I297">
        <f t="shared" si="38"/>
        <v>99</v>
      </c>
      <c r="J297" t="s">
        <v>53</v>
      </c>
      <c r="L297">
        <v>10</v>
      </c>
      <c r="M297" t="s">
        <v>19</v>
      </c>
      <c r="N297" s="2">
        <v>45775</v>
      </c>
      <c r="O297">
        <v>107</v>
      </c>
      <c r="P297">
        <v>67</v>
      </c>
      <c r="S297">
        <v>24</v>
      </c>
      <c r="T297">
        <f t="shared" si="39"/>
        <v>198</v>
      </c>
      <c r="U297" t="s">
        <v>53</v>
      </c>
    </row>
    <row r="298" spans="1:21">
      <c r="A298">
        <v>11</v>
      </c>
      <c r="B298" t="s">
        <v>25</v>
      </c>
      <c r="C298" s="2">
        <v>45774</v>
      </c>
      <c r="D298">
        <v>10</v>
      </c>
      <c r="E298">
        <v>1</v>
      </c>
      <c r="F298">
        <v>2</v>
      </c>
      <c r="G298">
        <v>0</v>
      </c>
      <c r="H298">
        <v>2</v>
      </c>
      <c r="I298">
        <f t="shared" si="38"/>
        <v>13</v>
      </c>
      <c r="J298" t="s">
        <v>54</v>
      </c>
      <c r="L298">
        <v>11</v>
      </c>
      <c r="M298" t="s">
        <v>25</v>
      </c>
      <c r="N298" s="2">
        <v>45775</v>
      </c>
      <c r="O298">
        <v>5</v>
      </c>
      <c r="P298">
        <v>4</v>
      </c>
      <c r="Q298">
        <v>1</v>
      </c>
      <c r="R298">
        <v>0</v>
      </c>
      <c r="S298">
        <v>1</v>
      </c>
      <c r="T298">
        <f t="shared" si="39"/>
        <v>10</v>
      </c>
      <c r="U298" t="s">
        <v>54</v>
      </c>
    </row>
    <row r="299" spans="1:21">
      <c r="A299">
        <v>12</v>
      </c>
      <c r="B299" t="s">
        <v>27</v>
      </c>
      <c r="C299" s="2">
        <v>45774</v>
      </c>
      <c r="D299">
        <v>80</v>
      </c>
      <c r="E299">
        <v>120</v>
      </c>
      <c r="F299">
        <v>35</v>
      </c>
      <c r="G299">
        <v>16</v>
      </c>
      <c r="H299">
        <v>51</v>
      </c>
      <c r="I299">
        <f t="shared" si="38"/>
        <v>251</v>
      </c>
      <c r="J299" t="s">
        <v>56</v>
      </c>
      <c r="L299">
        <v>12</v>
      </c>
      <c r="M299" t="s">
        <v>27</v>
      </c>
      <c r="N299" s="2">
        <v>45775</v>
      </c>
      <c r="O299">
        <v>132</v>
      </c>
      <c r="P299">
        <v>202</v>
      </c>
      <c r="Q299">
        <v>14</v>
      </c>
      <c r="R299">
        <v>20</v>
      </c>
      <c r="S299">
        <v>34</v>
      </c>
      <c r="T299">
        <f t="shared" si="39"/>
        <v>368</v>
      </c>
      <c r="U299" t="s">
        <v>56</v>
      </c>
    </row>
    <row r="300" spans="1:21">
      <c r="A300">
        <v>13</v>
      </c>
      <c r="B300" t="s">
        <v>20</v>
      </c>
      <c r="C300" s="2">
        <v>45774</v>
      </c>
      <c r="D300">
        <v>121</v>
      </c>
      <c r="E300">
        <v>130</v>
      </c>
      <c r="F300">
        <v>6</v>
      </c>
      <c r="G300">
        <v>10</v>
      </c>
      <c r="H300">
        <v>16</v>
      </c>
      <c r="I300">
        <f t="shared" si="38"/>
        <v>267</v>
      </c>
      <c r="J300" t="s">
        <v>57</v>
      </c>
      <c r="L300">
        <v>13</v>
      </c>
      <c r="M300" t="s">
        <v>20</v>
      </c>
      <c r="N300" s="2">
        <v>45775</v>
      </c>
      <c r="O300">
        <v>149</v>
      </c>
      <c r="P300">
        <v>154</v>
      </c>
      <c r="Q300">
        <v>11</v>
      </c>
      <c r="R300">
        <v>13</v>
      </c>
      <c r="S300">
        <v>24</v>
      </c>
      <c r="T300">
        <f t="shared" si="39"/>
        <v>327</v>
      </c>
      <c r="U300" t="s">
        <v>57</v>
      </c>
    </row>
    <row r="301" spans="1:21">
      <c r="A301">
        <v>14</v>
      </c>
      <c r="B301" t="s">
        <v>32</v>
      </c>
      <c r="C301" s="2">
        <v>45774</v>
      </c>
      <c r="D301">
        <v>20</v>
      </c>
      <c r="E301">
        <v>22</v>
      </c>
      <c r="F301">
        <v>5</v>
      </c>
      <c r="G301">
        <v>9</v>
      </c>
      <c r="H301">
        <v>14</v>
      </c>
      <c r="I301">
        <f t="shared" si="38"/>
        <v>56</v>
      </c>
      <c r="J301" t="s">
        <v>50</v>
      </c>
      <c r="L301">
        <v>14</v>
      </c>
      <c r="M301" t="s">
        <v>32</v>
      </c>
      <c r="N301" s="2">
        <v>45775</v>
      </c>
      <c r="O301">
        <v>45</v>
      </c>
      <c r="P301">
        <v>98</v>
      </c>
      <c r="Q301">
        <v>4</v>
      </c>
      <c r="R301">
        <v>7</v>
      </c>
      <c r="S301">
        <v>11</v>
      </c>
      <c r="T301">
        <f t="shared" si="39"/>
        <v>154</v>
      </c>
      <c r="U301" t="s">
        <v>50</v>
      </c>
    </row>
    <row r="302" spans="1:21">
      <c r="A302">
        <v>15</v>
      </c>
      <c r="B302" t="s">
        <v>48</v>
      </c>
      <c r="C302" s="2">
        <v>45774</v>
      </c>
      <c r="D302">
        <v>0</v>
      </c>
      <c r="E302">
        <v>0</v>
      </c>
      <c r="I302">
        <f t="shared" si="38"/>
        <v>0</v>
      </c>
      <c r="J302" t="s">
        <v>59</v>
      </c>
      <c r="L302">
        <v>15</v>
      </c>
      <c r="M302" t="s">
        <v>48</v>
      </c>
      <c r="N302" s="2">
        <v>45775</v>
      </c>
      <c r="O302">
        <v>0</v>
      </c>
      <c r="P302">
        <v>0</v>
      </c>
      <c r="T302">
        <f t="shared" si="39"/>
        <v>0</v>
      </c>
      <c r="U302" t="s">
        <v>59</v>
      </c>
    </row>
    <row r="303" spans="1:21">
      <c r="A303">
        <v>16</v>
      </c>
      <c r="B303" t="s">
        <v>37</v>
      </c>
      <c r="C303" s="2">
        <v>45774</v>
      </c>
      <c r="D303">
        <v>0</v>
      </c>
      <c r="E303">
        <v>0</v>
      </c>
      <c r="I303">
        <f t="shared" si="38"/>
        <v>0</v>
      </c>
      <c r="J303" t="s">
        <v>55</v>
      </c>
      <c r="L303">
        <v>16</v>
      </c>
      <c r="M303" t="s">
        <v>37</v>
      </c>
      <c r="N303" s="2">
        <v>45775</v>
      </c>
      <c r="O303">
        <v>15</v>
      </c>
      <c r="P303">
        <v>9</v>
      </c>
      <c r="Q303">
        <v>2</v>
      </c>
      <c r="R303">
        <v>1</v>
      </c>
      <c r="S303">
        <v>3</v>
      </c>
      <c r="T303">
        <f t="shared" si="39"/>
        <v>27</v>
      </c>
      <c r="U303" t="s">
        <v>55</v>
      </c>
    </row>
    <row r="304" spans="1:21">
      <c r="A304">
        <v>17</v>
      </c>
      <c r="B304" t="s">
        <v>49</v>
      </c>
      <c r="C304" s="2">
        <v>45774</v>
      </c>
      <c r="D304">
        <v>0</v>
      </c>
      <c r="E304">
        <v>0</v>
      </c>
      <c r="I304">
        <f t="shared" si="38"/>
        <v>0</v>
      </c>
      <c r="J304" t="s">
        <v>59</v>
      </c>
      <c r="L304">
        <v>17</v>
      </c>
      <c r="M304" t="s">
        <v>49</v>
      </c>
      <c r="N304" s="2">
        <v>45775</v>
      </c>
      <c r="O304">
        <v>0</v>
      </c>
      <c r="P304">
        <v>0</v>
      </c>
      <c r="T304">
        <f t="shared" si="39"/>
        <v>0</v>
      </c>
      <c r="U304" t="s">
        <v>59</v>
      </c>
    </row>
    <row r="305" spans="1:21">
      <c r="A305">
        <v>18</v>
      </c>
      <c r="B305" t="s">
        <v>21</v>
      </c>
      <c r="C305" s="2">
        <v>45774</v>
      </c>
      <c r="D305">
        <v>0</v>
      </c>
      <c r="E305">
        <v>0</v>
      </c>
      <c r="I305">
        <f t="shared" si="38"/>
        <v>0</v>
      </c>
      <c r="J305" t="s">
        <v>59</v>
      </c>
      <c r="L305">
        <v>18</v>
      </c>
      <c r="M305" t="s">
        <v>21</v>
      </c>
      <c r="N305" s="2">
        <v>45775</v>
      </c>
      <c r="O305">
        <v>0</v>
      </c>
      <c r="P305">
        <v>0</v>
      </c>
      <c r="T305">
        <f t="shared" si="39"/>
        <v>0</v>
      </c>
      <c r="U305" t="s">
        <v>59</v>
      </c>
    </row>
    <row r="306" spans="1:21">
      <c r="A306">
        <v>19</v>
      </c>
      <c r="B306" t="s">
        <v>104</v>
      </c>
      <c r="C306" s="2">
        <v>45774</v>
      </c>
      <c r="D306">
        <v>0</v>
      </c>
      <c r="E306">
        <v>0</v>
      </c>
      <c r="I306">
        <f>D306+E306+H306</f>
        <v>0</v>
      </c>
      <c r="J306" t="s">
        <v>56</v>
      </c>
      <c r="L306">
        <v>19</v>
      </c>
      <c r="M306" t="s">
        <v>104</v>
      </c>
      <c r="N306" s="2">
        <v>45775</v>
      </c>
      <c r="O306">
        <v>0</v>
      </c>
      <c r="P306">
        <v>0</v>
      </c>
      <c r="T306">
        <f>O306+P306+S306</f>
        <v>0</v>
      </c>
    </row>
    <row r="307" spans="1:21">
      <c r="A307">
        <v>20</v>
      </c>
      <c r="B307" t="s">
        <v>26</v>
      </c>
      <c r="C307" s="2">
        <v>45774</v>
      </c>
      <c r="D307">
        <v>0</v>
      </c>
      <c r="E307">
        <v>0</v>
      </c>
      <c r="I307">
        <f t="shared" ref="I307" si="40">D307+E307+H307</f>
        <v>0</v>
      </c>
      <c r="J307" t="s">
        <v>54</v>
      </c>
      <c r="L307">
        <v>20</v>
      </c>
      <c r="M307" t="s">
        <v>26</v>
      </c>
      <c r="N307" s="2">
        <v>45775</v>
      </c>
      <c r="O307">
        <v>0</v>
      </c>
      <c r="P307">
        <v>0</v>
      </c>
      <c r="T307">
        <f t="shared" ref="T307" si="41">O307+P307+S307</f>
        <v>0</v>
      </c>
      <c r="U307" t="s">
        <v>54</v>
      </c>
    </row>
    <row r="308" spans="1:21">
      <c r="B308" t="s">
        <v>8</v>
      </c>
      <c r="D308">
        <f>SUM(D288:D307)</f>
        <v>551</v>
      </c>
      <c r="E308">
        <f>SUM(E288:E307)</f>
        <v>538</v>
      </c>
      <c r="I308">
        <f>I288+I289+I290+I291+I292+I293+I294+I295+I296+I297+I298+I299+I300+I301+I302+I303+I304+I305+I306+I307</f>
        <v>1280</v>
      </c>
      <c r="M308" t="s">
        <v>8</v>
      </c>
      <c r="O308">
        <f>SUM(O288:O307)</f>
        <v>852</v>
      </c>
      <c r="P308">
        <f>SUM(P288:P307)</f>
        <v>1110</v>
      </c>
      <c r="T308">
        <f>T288+T289+T290+T291+T292+T293+T294+T295+T296+T297+T298+T299+T300+T301+T302+T303+T304+T305+T306+T307</f>
        <v>2187</v>
      </c>
    </row>
    <row r="311" spans="1:21">
      <c r="B311" t="s">
        <v>38</v>
      </c>
      <c r="C311" t="s">
        <v>209</v>
      </c>
      <c r="M311" t="s">
        <v>38</v>
      </c>
      <c r="N311" t="s">
        <v>210</v>
      </c>
    </row>
    <row r="312" spans="1:21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</v>
      </c>
      <c r="J312" t="s">
        <v>51</v>
      </c>
      <c r="L312" t="s">
        <v>0</v>
      </c>
      <c r="M312" t="s">
        <v>1</v>
      </c>
      <c r="N312" t="s">
        <v>2</v>
      </c>
      <c r="O312" t="s">
        <v>3</v>
      </c>
      <c r="P312" t="s">
        <v>4</v>
      </c>
      <c r="Q312" t="s">
        <v>5</v>
      </c>
      <c r="R312" t="s">
        <v>6</v>
      </c>
      <c r="S312" t="s">
        <v>7</v>
      </c>
      <c r="T312" t="s">
        <v>8</v>
      </c>
      <c r="U312" t="s">
        <v>51</v>
      </c>
    </row>
    <row r="313" spans="1:21">
      <c r="A313">
        <v>1</v>
      </c>
      <c r="B313" t="s">
        <v>9</v>
      </c>
      <c r="C313" s="2">
        <v>45776</v>
      </c>
      <c r="D313">
        <v>31</v>
      </c>
      <c r="E313">
        <v>28</v>
      </c>
      <c r="F313">
        <v>18</v>
      </c>
      <c r="G313">
        <v>10</v>
      </c>
      <c r="H313">
        <v>28</v>
      </c>
      <c r="I313">
        <f>D313+E313+H313</f>
        <v>87</v>
      </c>
      <c r="J313" t="s">
        <v>50</v>
      </c>
      <c r="L313">
        <v>1</v>
      </c>
      <c r="M313" t="s">
        <v>9</v>
      </c>
      <c r="N313" s="2">
        <v>45777</v>
      </c>
      <c r="O313">
        <v>36</v>
      </c>
      <c r="P313">
        <v>28</v>
      </c>
      <c r="Q313">
        <v>24</v>
      </c>
      <c r="R313">
        <v>22</v>
      </c>
      <c r="S313">
        <v>46</v>
      </c>
      <c r="T313">
        <f>O313+P313+S313</f>
        <v>110</v>
      </c>
      <c r="U313" t="s">
        <v>50</v>
      </c>
    </row>
    <row r="314" spans="1:21">
      <c r="A314">
        <v>2</v>
      </c>
      <c r="B314" t="s">
        <v>11</v>
      </c>
      <c r="C314" s="2">
        <v>45776</v>
      </c>
      <c r="D314">
        <v>18</v>
      </c>
      <c r="E314">
        <v>2</v>
      </c>
      <c r="F314">
        <v>0</v>
      </c>
      <c r="G314">
        <v>1</v>
      </c>
      <c r="H314">
        <v>1</v>
      </c>
      <c r="I314">
        <f>D314+E314+H314</f>
        <v>21</v>
      </c>
      <c r="J314" t="s">
        <v>52</v>
      </c>
      <c r="L314">
        <v>2</v>
      </c>
      <c r="M314" t="s">
        <v>11</v>
      </c>
      <c r="N314" s="2">
        <v>45777</v>
      </c>
      <c r="O314">
        <v>18</v>
      </c>
      <c r="P314">
        <v>4</v>
      </c>
      <c r="S314">
        <v>0</v>
      </c>
      <c r="T314">
        <f>O314+P314+S314</f>
        <v>22</v>
      </c>
      <c r="U314" t="s">
        <v>52</v>
      </c>
    </row>
    <row r="315" spans="1:21">
      <c r="A315">
        <v>3</v>
      </c>
      <c r="B315" t="s">
        <v>12</v>
      </c>
      <c r="C315" s="2">
        <v>45776</v>
      </c>
      <c r="D315">
        <v>80</v>
      </c>
      <c r="E315">
        <v>40</v>
      </c>
      <c r="H315">
        <v>0</v>
      </c>
      <c r="I315">
        <f>SUM(D315,E315,H315)</f>
        <v>120</v>
      </c>
      <c r="J315" t="s">
        <v>53</v>
      </c>
      <c r="L315">
        <v>3</v>
      </c>
      <c r="M315" t="s">
        <v>12</v>
      </c>
      <c r="N315" s="2">
        <v>45777</v>
      </c>
      <c r="O315">
        <v>65</v>
      </c>
      <c r="P315">
        <v>34</v>
      </c>
      <c r="S315">
        <v>0</v>
      </c>
      <c r="T315">
        <f>SUM(O315,P315,S315)</f>
        <v>99</v>
      </c>
      <c r="U315" t="s">
        <v>53</v>
      </c>
    </row>
    <row r="316" spans="1:21">
      <c r="A316">
        <v>4</v>
      </c>
      <c r="B316" t="s">
        <v>13</v>
      </c>
      <c r="C316" s="2">
        <v>45776</v>
      </c>
      <c r="D316">
        <v>33</v>
      </c>
      <c r="E316">
        <v>12</v>
      </c>
      <c r="H316">
        <v>7</v>
      </c>
      <c r="I316">
        <f t="shared" ref="I316:I330" si="42">D316+E316+H316</f>
        <v>52</v>
      </c>
      <c r="J316" t="s">
        <v>52</v>
      </c>
      <c r="L316">
        <v>4</v>
      </c>
      <c r="M316" t="s">
        <v>13</v>
      </c>
      <c r="N316" s="2">
        <v>45777</v>
      </c>
      <c r="O316">
        <v>28</v>
      </c>
      <c r="P316">
        <v>15</v>
      </c>
      <c r="S316">
        <v>0</v>
      </c>
      <c r="T316">
        <f t="shared" ref="T316:T330" si="43">O316+P316+S316</f>
        <v>43</v>
      </c>
      <c r="U316" t="s">
        <v>52</v>
      </c>
    </row>
    <row r="317" spans="1:21">
      <c r="A317">
        <v>5</v>
      </c>
      <c r="B317" t="s">
        <v>14</v>
      </c>
      <c r="C317" s="2">
        <v>45776</v>
      </c>
      <c r="D317">
        <v>240</v>
      </c>
      <c r="E317">
        <v>368</v>
      </c>
      <c r="H317">
        <v>103</v>
      </c>
      <c r="I317">
        <f t="shared" si="42"/>
        <v>711</v>
      </c>
      <c r="J317" t="s">
        <v>54</v>
      </c>
      <c r="L317">
        <v>5</v>
      </c>
      <c r="M317" t="s">
        <v>14</v>
      </c>
      <c r="N317" s="2">
        <v>45777</v>
      </c>
      <c r="O317">
        <v>216</v>
      </c>
      <c r="P317">
        <v>338</v>
      </c>
      <c r="S317">
        <v>101</v>
      </c>
      <c r="T317">
        <f t="shared" si="43"/>
        <v>655</v>
      </c>
      <c r="U317" t="s">
        <v>54</v>
      </c>
    </row>
    <row r="318" spans="1:21">
      <c r="A318">
        <v>6</v>
      </c>
      <c r="B318" t="s">
        <v>15</v>
      </c>
      <c r="C318" s="2">
        <v>45776</v>
      </c>
      <c r="D318">
        <v>92</v>
      </c>
      <c r="E318">
        <v>69</v>
      </c>
      <c r="H318">
        <v>0</v>
      </c>
      <c r="I318">
        <f t="shared" si="42"/>
        <v>161</v>
      </c>
      <c r="J318" t="s">
        <v>55</v>
      </c>
      <c r="L318">
        <v>6</v>
      </c>
      <c r="M318" t="s">
        <v>15</v>
      </c>
      <c r="N318" s="2">
        <v>45777</v>
      </c>
      <c r="O318">
        <v>100</v>
      </c>
      <c r="P318">
        <v>51</v>
      </c>
      <c r="S318">
        <v>0</v>
      </c>
      <c r="T318">
        <f t="shared" si="43"/>
        <v>151</v>
      </c>
      <c r="U318" t="s">
        <v>55</v>
      </c>
    </row>
    <row r="319" spans="1:21">
      <c r="A319">
        <v>7</v>
      </c>
      <c r="B319" t="s">
        <v>16</v>
      </c>
      <c r="C319" s="2">
        <v>45776</v>
      </c>
      <c r="I319">
        <f t="shared" si="42"/>
        <v>0</v>
      </c>
      <c r="J319" t="s">
        <v>52</v>
      </c>
      <c r="L319">
        <v>7</v>
      </c>
      <c r="M319" t="s">
        <v>16</v>
      </c>
      <c r="N319" s="2">
        <v>45777</v>
      </c>
      <c r="T319">
        <f t="shared" si="43"/>
        <v>0</v>
      </c>
      <c r="U319" t="s">
        <v>52</v>
      </c>
    </row>
    <row r="320" spans="1:21">
      <c r="A320">
        <v>8</v>
      </c>
      <c r="B320" t="s">
        <v>17</v>
      </c>
      <c r="C320" s="2">
        <v>45776</v>
      </c>
      <c r="D320">
        <v>29</v>
      </c>
      <c r="E320">
        <v>12</v>
      </c>
      <c r="F320">
        <v>1</v>
      </c>
      <c r="G320">
        <v>0</v>
      </c>
      <c r="H320">
        <v>1</v>
      </c>
      <c r="I320">
        <f t="shared" si="42"/>
        <v>42</v>
      </c>
      <c r="J320" t="s">
        <v>50</v>
      </c>
      <c r="L320">
        <v>8</v>
      </c>
      <c r="M320" t="s">
        <v>17</v>
      </c>
      <c r="N320" s="2">
        <v>45777</v>
      </c>
      <c r="O320">
        <v>116</v>
      </c>
      <c r="P320">
        <v>119</v>
      </c>
      <c r="Q320">
        <v>3</v>
      </c>
      <c r="R320">
        <v>0</v>
      </c>
      <c r="S320">
        <v>3</v>
      </c>
      <c r="T320">
        <f t="shared" si="43"/>
        <v>238</v>
      </c>
      <c r="U320" t="s">
        <v>50</v>
      </c>
    </row>
    <row r="321" spans="1:21">
      <c r="A321">
        <v>9</v>
      </c>
      <c r="B321" t="s">
        <v>18</v>
      </c>
      <c r="C321" s="2">
        <v>45776</v>
      </c>
      <c r="D321">
        <v>84</v>
      </c>
      <c r="E321">
        <v>19</v>
      </c>
      <c r="H321">
        <v>9</v>
      </c>
      <c r="I321">
        <f t="shared" si="42"/>
        <v>112</v>
      </c>
      <c r="J321" t="s">
        <v>56</v>
      </c>
      <c r="L321">
        <v>9</v>
      </c>
      <c r="M321" t="s">
        <v>18</v>
      </c>
      <c r="N321" s="2">
        <v>45777</v>
      </c>
      <c r="O321">
        <v>42</v>
      </c>
      <c r="P321">
        <v>11</v>
      </c>
      <c r="S321">
        <v>12</v>
      </c>
      <c r="T321">
        <f t="shared" si="43"/>
        <v>65</v>
      </c>
      <c r="U321" t="s">
        <v>56</v>
      </c>
    </row>
    <row r="322" spans="1:21">
      <c r="A322">
        <v>10</v>
      </c>
      <c r="B322" t="s">
        <v>19</v>
      </c>
      <c r="C322" s="2">
        <v>45776</v>
      </c>
      <c r="D322">
        <v>119</v>
      </c>
      <c r="E322">
        <v>100</v>
      </c>
      <c r="H322">
        <v>47</v>
      </c>
      <c r="I322">
        <f t="shared" si="42"/>
        <v>266</v>
      </c>
      <c r="J322" t="s">
        <v>53</v>
      </c>
      <c r="L322">
        <v>10</v>
      </c>
      <c r="M322" t="s">
        <v>19</v>
      </c>
      <c r="N322" s="2">
        <v>45777</v>
      </c>
      <c r="O322">
        <v>97</v>
      </c>
      <c r="P322">
        <v>83</v>
      </c>
      <c r="S322">
        <v>24</v>
      </c>
      <c r="T322">
        <f t="shared" si="43"/>
        <v>204</v>
      </c>
      <c r="U322" t="s">
        <v>53</v>
      </c>
    </row>
    <row r="323" spans="1:21">
      <c r="A323">
        <v>11</v>
      </c>
      <c r="B323" t="s">
        <v>25</v>
      </c>
      <c r="C323" s="2">
        <v>45776</v>
      </c>
      <c r="D323">
        <v>10</v>
      </c>
      <c r="E323">
        <v>2</v>
      </c>
      <c r="H323">
        <v>0</v>
      </c>
      <c r="I323">
        <f t="shared" si="42"/>
        <v>12</v>
      </c>
      <c r="J323" t="s">
        <v>54</v>
      </c>
      <c r="L323">
        <v>11</v>
      </c>
      <c r="M323" t="s">
        <v>25</v>
      </c>
      <c r="N323" s="2">
        <v>45777</v>
      </c>
      <c r="O323">
        <v>13</v>
      </c>
      <c r="P323">
        <v>2</v>
      </c>
      <c r="Q323">
        <v>1</v>
      </c>
      <c r="R323">
        <v>2</v>
      </c>
      <c r="S323">
        <v>3</v>
      </c>
      <c r="T323">
        <f t="shared" si="43"/>
        <v>18</v>
      </c>
      <c r="U323" t="s">
        <v>54</v>
      </c>
    </row>
    <row r="324" spans="1:21">
      <c r="A324">
        <v>12</v>
      </c>
      <c r="B324" t="s">
        <v>27</v>
      </c>
      <c r="C324" s="2">
        <v>45776</v>
      </c>
      <c r="D324">
        <v>191</v>
      </c>
      <c r="E324">
        <v>212</v>
      </c>
      <c r="F324">
        <v>16</v>
      </c>
      <c r="G324">
        <v>21</v>
      </c>
      <c r="I324">
        <f t="shared" si="42"/>
        <v>403</v>
      </c>
      <c r="J324" t="s">
        <v>56</v>
      </c>
      <c r="L324">
        <v>12</v>
      </c>
      <c r="M324" t="s">
        <v>27</v>
      </c>
      <c r="N324" s="2">
        <v>45777</v>
      </c>
      <c r="O324">
        <v>181</v>
      </c>
      <c r="P324">
        <v>231</v>
      </c>
      <c r="Q324">
        <v>26</v>
      </c>
      <c r="R324">
        <v>19</v>
      </c>
      <c r="S324">
        <f>Q324+R324</f>
        <v>45</v>
      </c>
      <c r="T324">
        <f t="shared" si="43"/>
        <v>457</v>
      </c>
      <c r="U324" t="s">
        <v>56</v>
      </c>
    </row>
    <row r="325" spans="1:21">
      <c r="A325">
        <v>13</v>
      </c>
      <c r="B325" t="s">
        <v>20</v>
      </c>
      <c r="C325" s="2">
        <v>45776</v>
      </c>
      <c r="D325">
        <v>92</v>
      </c>
      <c r="E325">
        <v>97</v>
      </c>
      <c r="F325">
        <v>1</v>
      </c>
      <c r="G325">
        <v>3</v>
      </c>
      <c r="H325">
        <v>4</v>
      </c>
      <c r="I325">
        <f t="shared" si="42"/>
        <v>193</v>
      </c>
      <c r="J325" t="s">
        <v>57</v>
      </c>
      <c r="L325">
        <v>13</v>
      </c>
      <c r="M325" t="s">
        <v>20</v>
      </c>
      <c r="N325" s="2">
        <v>45777</v>
      </c>
      <c r="O325">
        <v>127</v>
      </c>
      <c r="P325">
        <v>104</v>
      </c>
      <c r="Q325">
        <v>7</v>
      </c>
      <c r="R325">
        <v>5</v>
      </c>
      <c r="S325">
        <v>12</v>
      </c>
      <c r="T325">
        <f t="shared" si="43"/>
        <v>243</v>
      </c>
      <c r="U325" t="s">
        <v>57</v>
      </c>
    </row>
    <row r="326" spans="1:21">
      <c r="A326">
        <v>14</v>
      </c>
      <c r="B326" t="s">
        <v>32</v>
      </c>
      <c r="C326" s="2">
        <v>45776</v>
      </c>
      <c r="D326">
        <v>28</v>
      </c>
      <c r="E326">
        <v>29</v>
      </c>
      <c r="F326">
        <v>3</v>
      </c>
      <c r="G326">
        <v>4</v>
      </c>
      <c r="H326">
        <v>7</v>
      </c>
      <c r="I326">
        <f t="shared" si="42"/>
        <v>64</v>
      </c>
      <c r="J326" t="s">
        <v>50</v>
      </c>
      <c r="L326">
        <v>14</v>
      </c>
      <c r="M326" t="s">
        <v>32</v>
      </c>
      <c r="N326" s="2">
        <v>45777</v>
      </c>
      <c r="T326">
        <f t="shared" si="43"/>
        <v>0</v>
      </c>
      <c r="U326" t="s">
        <v>50</v>
      </c>
    </row>
    <row r="327" spans="1:21">
      <c r="A327">
        <v>15</v>
      </c>
      <c r="B327" t="s">
        <v>48</v>
      </c>
      <c r="C327" s="2">
        <v>45776</v>
      </c>
      <c r="I327">
        <f t="shared" si="42"/>
        <v>0</v>
      </c>
      <c r="J327" t="s">
        <v>59</v>
      </c>
      <c r="L327">
        <v>15</v>
      </c>
      <c r="M327" t="s">
        <v>48</v>
      </c>
      <c r="N327" s="2">
        <v>45777</v>
      </c>
      <c r="T327">
        <f t="shared" si="43"/>
        <v>0</v>
      </c>
      <c r="U327" t="s">
        <v>59</v>
      </c>
    </row>
    <row r="328" spans="1:21">
      <c r="A328">
        <v>16</v>
      </c>
      <c r="B328" t="s">
        <v>37</v>
      </c>
      <c r="C328" s="2">
        <v>45776</v>
      </c>
      <c r="I328">
        <f t="shared" si="42"/>
        <v>0</v>
      </c>
      <c r="J328" t="s">
        <v>55</v>
      </c>
      <c r="L328">
        <v>16</v>
      </c>
      <c r="M328" t="s">
        <v>37</v>
      </c>
      <c r="N328" s="2">
        <v>45777</v>
      </c>
      <c r="O328">
        <v>17</v>
      </c>
      <c r="P328">
        <v>11</v>
      </c>
      <c r="Q328">
        <v>2</v>
      </c>
      <c r="R328">
        <v>1</v>
      </c>
      <c r="S328">
        <v>3</v>
      </c>
      <c r="T328">
        <f t="shared" si="43"/>
        <v>31</v>
      </c>
      <c r="U328" t="s">
        <v>55</v>
      </c>
    </row>
    <row r="329" spans="1:21">
      <c r="A329">
        <v>17</v>
      </c>
      <c r="B329" t="s">
        <v>49</v>
      </c>
      <c r="C329" s="2">
        <v>45776</v>
      </c>
      <c r="I329">
        <f t="shared" si="42"/>
        <v>0</v>
      </c>
      <c r="J329" t="s">
        <v>59</v>
      </c>
      <c r="L329">
        <v>17</v>
      </c>
      <c r="M329" t="s">
        <v>49</v>
      </c>
      <c r="N329" s="2">
        <v>45777</v>
      </c>
      <c r="T329">
        <f t="shared" si="43"/>
        <v>0</v>
      </c>
      <c r="U329" t="s">
        <v>59</v>
      </c>
    </row>
    <row r="330" spans="1:21">
      <c r="A330">
        <v>18</v>
      </c>
      <c r="B330" t="s">
        <v>21</v>
      </c>
      <c r="C330" s="2">
        <v>45776</v>
      </c>
      <c r="I330">
        <f t="shared" si="42"/>
        <v>0</v>
      </c>
      <c r="J330" t="s">
        <v>59</v>
      </c>
      <c r="L330">
        <v>18</v>
      </c>
      <c r="M330" t="s">
        <v>21</v>
      </c>
      <c r="N330" s="2">
        <v>45777</v>
      </c>
      <c r="T330">
        <f t="shared" si="43"/>
        <v>0</v>
      </c>
      <c r="U330" t="s">
        <v>59</v>
      </c>
    </row>
    <row r="331" spans="1:21">
      <c r="A331">
        <v>19</v>
      </c>
      <c r="B331" t="s">
        <v>104</v>
      </c>
      <c r="C331" s="2">
        <v>45776</v>
      </c>
      <c r="I331">
        <f>D331+E331+H331</f>
        <v>0</v>
      </c>
      <c r="J331" t="s">
        <v>56</v>
      </c>
      <c r="L331">
        <v>19</v>
      </c>
      <c r="M331" t="s">
        <v>104</v>
      </c>
      <c r="N331" s="2">
        <v>45777</v>
      </c>
      <c r="T331">
        <f>O331+P331+S331</f>
        <v>0</v>
      </c>
    </row>
    <row r="332" spans="1:21">
      <c r="A332">
        <v>20</v>
      </c>
      <c r="B332" t="s">
        <v>26</v>
      </c>
      <c r="C332" s="2">
        <v>45776</v>
      </c>
      <c r="I332">
        <f t="shared" ref="I332" si="44">D332+E332+H332</f>
        <v>0</v>
      </c>
      <c r="J332" t="s">
        <v>54</v>
      </c>
      <c r="L332">
        <v>20</v>
      </c>
      <c r="M332" t="s">
        <v>26</v>
      </c>
      <c r="N332" s="2">
        <v>45777</v>
      </c>
      <c r="T332">
        <f t="shared" ref="T332" si="45">O332+P332+S332</f>
        <v>0</v>
      </c>
      <c r="U332" t="s">
        <v>54</v>
      </c>
    </row>
    <row r="333" spans="1:21">
      <c r="B333" t="s">
        <v>8</v>
      </c>
      <c r="E333">
        <f>SUM(E313:E332)</f>
        <v>990</v>
      </c>
      <c r="I333">
        <f>I313+I314+I315+I316+I317+I318+I319+I320+I321+I322+I323+I324+I325+I326+I327+I328+I329+I330+I331+I332</f>
        <v>2244</v>
      </c>
      <c r="M333" t="s">
        <v>8</v>
      </c>
      <c r="P333">
        <f>SUM(P313:P332)</f>
        <v>1031</v>
      </c>
      <c r="T333">
        <f>T313+T314+T315+T316+T317+T318+T319+T320+T321+T322+T323+T324+T325+T326+T327+T328+T329+T330+T331+T332</f>
        <v>2336</v>
      </c>
    </row>
    <row r="336" spans="1:21">
      <c r="B336" t="s">
        <v>38</v>
      </c>
      <c r="C336" t="s">
        <v>211</v>
      </c>
      <c r="M336" t="s">
        <v>38</v>
      </c>
      <c r="N336" t="s">
        <v>212</v>
      </c>
    </row>
    <row r="337" spans="1:21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51</v>
      </c>
      <c r="L337" t="s">
        <v>0</v>
      </c>
      <c r="M337" t="s">
        <v>1</v>
      </c>
      <c r="N337" t="s">
        <v>2</v>
      </c>
      <c r="O337" t="s">
        <v>3</v>
      </c>
      <c r="P337" t="s">
        <v>4</v>
      </c>
      <c r="Q337" t="s">
        <v>5</v>
      </c>
      <c r="R337" t="s">
        <v>6</v>
      </c>
      <c r="S337" t="s">
        <v>7</v>
      </c>
      <c r="T337" t="s">
        <v>8</v>
      </c>
      <c r="U337" t="s">
        <v>51</v>
      </c>
    </row>
    <row r="338" spans="1:21">
      <c r="A338">
        <v>1</v>
      </c>
      <c r="B338" t="s">
        <v>9</v>
      </c>
      <c r="C338" s="2">
        <v>45778</v>
      </c>
      <c r="D338">
        <v>30</v>
      </c>
      <c r="E338">
        <v>27</v>
      </c>
      <c r="F338">
        <v>7</v>
      </c>
      <c r="G338">
        <v>5</v>
      </c>
      <c r="H338">
        <v>12</v>
      </c>
      <c r="I338">
        <f>D338+E338+H338</f>
        <v>69</v>
      </c>
      <c r="J338" t="s">
        <v>50</v>
      </c>
      <c r="L338">
        <v>1</v>
      </c>
      <c r="M338" t="s">
        <v>9</v>
      </c>
      <c r="N338" s="2">
        <v>45779</v>
      </c>
      <c r="O338">
        <v>34</v>
      </c>
      <c r="P338">
        <v>41</v>
      </c>
      <c r="Q338">
        <v>21</v>
      </c>
      <c r="R338">
        <v>13</v>
      </c>
      <c r="S338">
        <v>34</v>
      </c>
      <c r="T338">
        <f>O338+P338+S338</f>
        <v>109</v>
      </c>
      <c r="U338" t="s">
        <v>50</v>
      </c>
    </row>
    <row r="339" spans="1:21">
      <c r="A339">
        <v>2</v>
      </c>
      <c r="B339" t="s">
        <v>11</v>
      </c>
      <c r="C339" s="2">
        <v>45778</v>
      </c>
      <c r="D339">
        <v>12</v>
      </c>
      <c r="E339">
        <v>1</v>
      </c>
      <c r="H339">
        <v>0</v>
      </c>
      <c r="I339">
        <f>D339+E339+H339</f>
        <v>13</v>
      </c>
      <c r="J339" t="s">
        <v>52</v>
      </c>
      <c r="L339">
        <v>2</v>
      </c>
      <c r="M339" t="s">
        <v>11</v>
      </c>
      <c r="N339" s="2">
        <v>45779</v>
      </c>
      <c r="O339">
        <v>17</v>
      </c>
      <c r="P339">
        <v>6</v>
      </c>
      <c r="Q339">
        <v>1</v>
      </c>
      <c r="R339">
        <v>0</v>
      </c>
      <c r="S339">
        <v>1</v>
      </c>
      <c r="T339">
        <f>O339+P339+S339</f>
        <v>24</v>
      </c>
      <c r="U339" t="s">
        <v>52</v>
      </c>
    </row>
    <row r="340" spans="1:21">
      <c r="A340">
        <v>3</v>
      </c>
      <c r="B340" t="s">
        <v>12</v>
      </c>
      <c r="C340" s="2">
        <v>45778</v>
      </c>
      <c r="D340">
        <v>51</v>
      </c>
      <c r="E340">
        <v>42</v>
      </c>
      <c r="H340">
        <v>0</v>
      </c>
      <c r="I340">
        <f>SUM(D340,E340,H340)</f>
        <v>93</v>
      </c>
      <c r="J340" t="s">
        <v>53</v>
      </c>
      <c r="L340">
        <v>3</v>
      </c>
      <c r="M340" t="s">
        <v>12</v>
      </c>
      <c r="N340" s="2">
        <v>45779</v>
      </c>
      <c r="O340">
        <v>22</v>
      </c>
      <c r="P340">
        <v>37</v>
      </c>
      <c r="S340">
        <v>0</v>
      </c>
      <c r="T340">
        <f>SUM(O340,P340,S340)</f>
        <v>59</v>
      </c>
      <c r="U340" t="s">
        <v>53</v>
      </c>
    </row>
    <row r="341" spans="1:21">
      <c r="A341">
        <v>4</v>
      </c>
      <c r="B341" t="s">
        <v>13</v>
      </c>
      <c r="C341" s="2">
        <v>45778</v>
      </c>
      <c r="D341">
        <v>39</v>
      </c>
      <c r="E341">
        <v>13</v>
      </c>
      <c r="H341">
        <v>1</v>
      </c>
      <c r="I341">
        <f t="shared" ref="I341:I355" si="46">D341+E341+H341</f>
        <v>53</v>
      </c>
      <c r="J341" t="s">
        <v>52</v>
      </c>
      <c r="L341">
        <v>4</v>
      </c>
      <c r="M341" t="s">
        <v>13</v>
      </c>
      <c r="N341" s="2">
        <v>45779</v>
      </c>
      <c r="O341">
        <v>26</v>
      </c>
      <c r="P341">
        <v>7</v>
      </c>
      <c r="S341">
        <v>4</v>
      </c>
      <c r="T341">
        <f t="shared" ref="T341:T355" si="47">O341+P341+S341</f>
        <v>37</v>
      </c>
      <c r="U341" t="s">
        <v>52</v>
      </c>
    </row>
    <row r="342" spans="1:21">
      <c r="A342">
        <v>5</v>
      </c>
      <c r="B342" t="s">
        <v>14</v>
      </c>
      <c r="C342" s="2">
        <v>45778</v>
      </c>
      <c r="D342">
        <v>195</v>
      </c>
      <c r="E342">
        <v>290</v>
      </c>
      <c r="H342">
        <v>81</v>
      </c>
      <c r="I342">
        <f t="shared" si="46"/>
        <v>566</v>
      </c>
      <c r="J342" t="s">
        <v>54</v>
      </c>
      <c r="L342">
        <v>5</v>
      </c>
      <c r="M342" t="s">
        <v>14</v>
      </c>
      <c r="N342" s="2">
        <v>45779</v>
      </c>
      <c r="O342">
        <v>166</v>
      </c>
      <c r="P342">
        <v>272</v>
      </c>
      <c r="S342">
        <v>104</v>
      </c>
      <c r="T342">
        <f t="shared" si="47"/>
        <v>542</v>
      </c>
      <c r="U342" t="s">
        <v>54</v>
      </c>
    </row>
    <row r="343" spans="1:21">
      <c r="A343">
        <v>6</v>
      </c>
      <c r="B343" t="s">
        <v>15</v>
      </c>
      <c r="C343" s="2">
        <v>45778</v>
      </c>
      <c r="D343">
        <v>91</v>
      </c>
      <c r="E343">
        <v>51</v>
      </c>
      <c r="H343">
        <v>0</v>
      </c>
      <c r="I343">
        <f t="shared" si="46"/>
        <v>142</v>
      </c>
      <c r="J343" t="s">
        <v>55</v>
      </c>
      <c r="L343">
        <v>6</v>
      </c>
      <c r="M343" t="s">
        <v>15</v>
      </c>
      <c r="N343" s="2">
        <v>45779</v>
      </c>
      <c r="O343">
        <v>47</v>
      </c>
      <c r="P343">
        <v>14</v>
      </c>
      <c r="S343">
        <v>0</v>
      </c>
      <c r="T343">
        <f t="shared" si="47"/>
        <v>61</v>
      </c>
      <c r="U343" t="s">
        <v>55</v>
      </c>
    </row>
    <row r="344" spans="1:21">
      <c r="A344">
        <v>7</v>
      </c>
      <c r="B344" t="s">
        <v>16</v>
      </c>
      <c r="C344" s="2">
        <v>45778</v>
      </c>
      <c r="D344">
        <v>0</v>
      </c>
      <c r="I344">
        <f t="shared" si="46"/>
        <v>0</v>
      </c>
      <c r="J344" t="s">
        <v>52</v>
      </c>
      <c r="L344">
        <v>7</v>
      </c>
      <c r="M344" t="s">
        <v>16</v>
      </c>
      <c r="N344" s="2">
        <v>45779</v>
      </c>
      <c r="O344">
        <v>0</v>
      </c>
      <c r="T344">
        <f t="shared" si="47"/>
        <v>0</v>
      </c>
      <c r="U344" t="s">
        <v>52</v>
      </c>
    </row>
    <row r="345" spans="1:21">
      <c r="A345">
        <v>8</v>
      </c>
      <c r="B345" t="s">
        <v>17</v>
      </c>
      <c r="C345" s="2">
        <v>45778</v>
      </c>
      <c r="D345">
        <v>22</v>
      </c>
      <c r="E345">
        <v>14</v>
      </c>
      <c r="H345">
        <v>5</v>
      </c>
      <c r="I345">
        <f t="shared" si="46"/>
        <v>41</v>
      </c>
      <c r="J345" t="s">
        <v>50</v>
      </c>
      <c r="L345">
        <v>8</v>
      </c>
      <c r="M345" t="s">
        <v>17</v>
      </c>
      <c r="N345" s="2">
        <v>45779</v>
      </c>
      <c r="O345">
        <v>158</v>
      </c>
      <c r="P345">
        <v>164</v>
      </c>
      <c r="Q345">
        <v>25</v>
      </c>
      <c r="R345">
        <v>20</v>
      </c>
      <c r="S345">
        <v>48</v>
      </c>
      <c r="T345">
        <f t="shared" si="47"/>
        <v>370</v>
      </c>
      <c r="U345" t="s">
        <v>50</v>
      </c>
    </row>
    <row r="346" spans="1:21">
      <c r="A346">
        <v>9</v>
      </c>
      <c r="B346" t="s">
        <v>18</v>
      </c>
      <c r="C346" s="2">
        <v>45778</v>
      </c>
      <c r="D346">
        <v>52</v>
      </c>
      <c r="E346">
        <v>16</v>
      </c>
      <c r="H346">
        <v>9</v>
      </c>
      <c r="I346">
        <f t="shared" si="46"/>
        <v>77</v>
      </c>
      <c r="J346" t="s">
        <v>56</v>
      </c>
      <c r="L346">
        <v>9</v>
      </c>
      <c r="M346" t="s">
        <v>18</v>
      </c>
      <c r="N346" s="2">
        <v>45779</v>
      </c>
      <c r="O346">
        <v>44</v>
      </c>
      <c r="P346">
        <v>23</v>
      </c>
      <c r="S346">
        <v>14</v>
      </c>
      <c r="T346">
        <f t="shared" si="47"/>
        <v>81</v>
      </c>
      <c r="U346" t="s">
        <v>56</v>
      </c>
    </row>
    <row r="347" spans="1:21">
      <c r="A347">
        <v>10</v>
      </c>
      <c r="B347" t="s">
        <v>19</v>
      </c>
      <c r="C347" s="2">
        <v>45778</v>
      </c>
      <c r="D347">
        <v>77</v>
      </c>
      <c r="E347">
        <v>48</v>
      </c>
      <c r="H347">
        <v>18</v>
      </c>
      <c r="I347">
        <f t="shared" si="46"/>
        <v>143</v>
      </c>
      <c r="J347" t="s">
        <v>53</v>
      </c>
      <c r="L347">
        <v>10</v>
      </c>
      <c r="M347" t="s">
        <v>19</v>
      </c>
      <c r="N347" s="2">
        <v>45779</v>
      </c>
      <c r="O347">
        <v>89</v>
      </c>
      <c r="P347">
        <v>39</v>
      </c>
      <c r="S347">
        <v>20</v>
      </c>
      <c r="T347">
        <f t="shared" si="47"/>
        <v>148</v>
      </c>
      <c r="U347" t="s">
        <v>53</v>
      </c>
    </row>
    <row r="348" spans="1:21">
      <c r="A348">
        <v>11</v>
      </c>
      <c r="B348" t="s">
        <v>25</v>
      </c>
      <c r="C348" s="2">
        <v>45778</v>
      </c>
      <c r="D348">
        <v>2</v>
      </c>
      <c r="E348">
        <v>5</v>
      </c>
      <c r="F348">
        <v>2</v>
      </c>
      <c r="G348">
        <v>3</v>
      </c>
      <c r="H348">
        <v>5</v>
      </c>
      <c r="I348">
        <f t="shared" si="46"/>
        <v>12</v>
      </c>
      <c r="J348" t="s">
        <v>54</v>
      </c>
      <c r="L348">
        <v>11</v>
      </c>
      <c r="M348" t="s">
        <v>25</v>
      </c>
      <c r="N348" s="2">
        <v>45779</v>
      </c>
      <c r="O348">
        <v>9</v>
      </c>
      <c r="P348">
        <v>2</v>
      </c>
      <c r="Q348">
        <v>1</v>
      </c>
      <c r="R348">
        <v>2</v>
      </c>
      <c r="S348">
        <v>3</v>
      </c>
      <c r="T348">
        <f t="shared" si="47"/>
        <v>14</v>
      </c>
      <c r="U348" t="s">
        <v>54</v>
      </c>
    </row>
    <row r="349" spans="1:21">
      <c r="A349">
        <v>12</v>
      </c>
      <c r="B349" t="s">
        <v>27</v>
      </c>
      <c r="C349" s="2">
        <v>45778</v>
      </c>
      <c r="D349">
        <v>152</v>
      </c>
      <c r="E349">
        <v>162</v>
      </c>
      <c r="F349">
        <v>30</v>
      </c>
      <c r="G349">
        <v>26</v>
      </c>
      <c r="H349">
        <v>56</v>
      </c>
      <c r="I349">
        <f t="shared" si="46"/>
        <v>370</v>
      </c>
      <c r="J349" t="s">
        <v>56</v>
      </c>
      <c r="L349">
        <v>12</v>
      </c>
      <c r="M349" t="s">
        <v>27</v>
      </c>
      <c r="N349" s="2">
        <v>45779</v>
      </c>
      <c r="O349">
        <v>189</v>
      </c>
      <c r="P349">
        <v>174</v>
      </c>
      <c r="Q349">
        <v>34</v>
      </c>
      <c r="R349">
        <v>21</v>
      </c>
      <c r="S349">
        <v>55</v>
      </c>
      <c r="T349">
        <f t="shared" si="47"/>
        <v>418</v>
      </c>
      <c r="U349" t="s">
        <v>56</v>
      </c>
    </row>
    <row r="350" spans="1:21">
      <c r="A350">
        <v>13</v>
      </c>
      <c r="B350" t="s">
        <v>20</v>
      </c>
      <c r="C350" s="2">
        <v>45778</v>
      </c>
      <c r="D350">
        <v>0</v>
      </c>
      <c r="I350">
        <f t="shared" si="46"/>
        <v>0</v>
      </c>
      <c r="J350" t="s">
        <v>57</v>
      </c>
      <c r="L350">
        <v>13</v>
      </c>
      <c r="M350" t="s">
        <v>20</v>
      </c>
      <c r="N350" s="2">
        <v>45779</v>
      </c>
      <c r="O350">
        <v>122</v>
      </c>
      <c r="P350">
        <v>141</v>
      </c>
      <c r="Q350">
        <v>8</v>
      </c>
      <c r="R350">
        <v>13</v>
      </c>
      <c r="S350">
        <v>21</v>
      </c>
      <c r="T350">
        <f t="shared" si="47"/>
        <v>284</v>
      </c>
      <c r="U350" t="s">
        <v>57</v>
      </c>
    </row>
    <row r="351" spans="1:21">
      <c r="A351">
        <v>14</v>
      </c>
      <c r="B351" t="s">
        <v>32</v>
      </c>
      <c r="C351" s="2">
        <v>45778</v>
      </c>
      <c r="D351">
        <v>0</v>
      </c>
      <c r="I351">
        <f t="shared" si="46"/>
        <v>0</v>
      </c>
      <c r="J351" t="s">
        <v>50</v>
      </c>
      <c r="L351">
        <v>14</v>
      </c>
      <c r="M351" t="s">
        <v>32</v>
      </c>
      <c r="N351" s="2">
        <v>45779</v>
      </c>
      <c r="O351">
        <v>0</v>
      </c>
      <c r="T351">
        <f t="shared" si="47"/>
        <v>0</v>
      </c>
      <c r="U351" t="s">
        <v>50</v>
      </c>
    </row>
    <row r="352" spans="1:21">
      <c r="A352">
        <v>15</v>
      </c>
      <c r="B352" t="s">
        <v>48</v>
      </c>
      <c r="C352" s="2">
        <v>45778</v>
      </c>
      <c r="D352">
        <v>0</v>
      </c>
      <c r="I352">
        <f t="shared" si="46"/>
        <v>0</v>
      </c>
      <c r="J352" t="s">
        <v>59</v>
      </c>
      <c r="L352">
        <v>15</v>
      </c>
      <c r="M352" t="s">
        <v>48</v>
      </c>
      <c r="N352" s="2">
        <v>45779</v>
      </c>
      <c r="O352">
        <v>0</v>
      </c>
      <c r="T352">
        <f t="shared" si="47"/>
        <v>0</v>
      </c>
      <c r="U352" t="s">
        <v>59</v>
      </c>
    </row>
    <row r="353" spans="1:21">
      <c r="A353">
        <v>16</v>
      </c>
      <c r="B353" t="s">
        <v>37</v>
      </c>
      <c r="C353" s="2">
        <v>45778</v>
      </c>
      <c r="D353">
        <v>18</v>
      </c>
      <c r="E353">
        <v>10</v>
      </c>
      <c r="F353">
        <v>1</v>
      </c>
      <c r="G353">
        <v>1</v>
      </c>
      <c r="H353">
        <v>2</v>
      </c>
      <c r="I353">
        <f t="shared" si="46"/>
        <v>30</v>
      </c>
      <c r="J353" t="s">
        <v>55</v>
      </c>
      <c r="L353">
        <v>16</v>
      </c>
      <c r="M353" t="s">
        <v>37</v>
      </c>
      <c r="N353" s="2">
        <v>45779</v>
      </c>
      <c r="O353">
        <v>0</v>
      </c>
      <c r="T353">
        <f t="shared" si="47"/>
        <v>0</v>
      </c>
      <c r="U353" t="s">
        <v>55</v>
      </c>
    </row>
    <row r="354" spans="1:21">
      <c r="A354">
        <v>17</v>
      </c>
      <c r="B354" t="s">
        <v>49</v>
      </c>
      <c r="C354" s="2">
        <v>45778</v>
      </c>
      <c r="D354">
        <v>0</v>
      </c>
      <c r="I354">
        <f t="shared" si="46"/>
        <v>0</v>
      </c>
      <c r="J354" t="s">
        <v>59</v>
      </c>
      <c r="L354">
        <v>17</v>
      </c>
      <c r="M354" t="s">
        <v>49</v>
      </c>
      <c r="N354" s="2">
        <v>45779</v>
      </c>
      <c r="O354">
        <v>0</v>
      </c>
      <c r="T354">
        <f t="shared" si="47"/>
        <v>0</v>
      </c>
      <c r="U354" t="s">
        <v>59</v>
      </c>
    </row>
    <row r="355" spans="1:21">
      <c r="A355">
        <v>18</v>
      </c>
      <c r="B355" t="s">
        <v>21</v>
      </c>
      <c r="C355" s="2">
        <v>45778</v>
      </c>
      <c r="D355">
        <v>0</v>
      </c>
      <c r="I355">
        <f t="shared" si="46"/>
        <v>0</v>
      </c>
      <c r="J355" t="s">
        <v>59</v>
      </c>
      <c r="L355">
        <v>18</v>
      </c>
      <c r="M355" t="s">
        <v>21</v>
      </c>
      <c r="N355" s="2">
        <v>45779</v>
      </c>
      <c r="O355">
        <v>0</v>
      </c>
      <c r="T355">
        <f t="shared" si="47"/>
        <v>0</v>
      </c>
      <c r="U355" t="s">
        <v>59</v>
      </c>
    </row>
    <row r="356" spans="1:21">
      <c r="A356">
        <v>19</v>
      </c>
      <c r="B356" t="s">
        <v>104</v>
      </c>
      <c r="C356" s="2">
        <v>45778</v>
      </c>
      <c r="D356">
        <v>0</v>
      </c>
      <c r="I356">
        <f>D356+E356+H356</f>
        <v>0</v>
      </c>
      <c r="J356" t="s">
        <v>56</v>
      </c>
      <c r="L356">
        <v>19</v>
      </c>
      <c r="M356" t="s">
        <v>104</v>
      </c>
      <c r="N356" s="2">
        <v>45779</v>
      </c>
      <c r="O356">
        <v>0</v>
      </c>
      <c r="T356">
        <f>O356+P356+S356</f>
        <v>0</v>
      </c>
    </row>
    <row r="357" spans="1:21">
      <c r="A357">
        <v>20</v>
      </c>
      <c r="B357" t="s">
        <v>26</v>
      </c>
      <c r="C357" s="2">
        <v>45778</v>
      </c>
      <c r="D357">
        <v>0</v>
      </c>
      <c r="I357">
        <f t="shared" ref="I357" si="48">D357+E357+H357</f>
        <v>0</v>
      </c>
      <c r="J357" t="s">
        <v>54</v>
      </c>
      <c r="L357">
        <v>20</v>
      </c>
      <c r="M357" t="s">
        <v>26</v>
      </c>
      <c r="N357" s="2">
        <v>45779</v>
      </c>
      <c r="O357">
        <v>0</v>
      </c>
      <c r="T357">
        <f t="shared" ref="T357" si="49">O357+P357+S357</f>
        <v>0</v>
      </c>
      <c r="U357" t="s">
        <v>54</v>
      </c>
    </row>
    <row r="358" spans="1:21">
      <c r="B358" t="s">
        <v>8</v>
      </c>
      <c r="D358">
        <f>SUM(D338:D357)</f>
        <v>741</v>
      </c>
      <c r="E358">
        <f>SUM(E338:E357)</f>
        <v>679</v>
      </c>
      <c r="I358">
        <f>I338+I339+I340+I341+I342+I343+I344+I345+I346+I347+I348+I349+I350+I351+I352+I353+I354+I355+I356+I357</f>
        <v>1609</v>
      </c>
      <c r="M358" t="s">
        <v>8</v>
      </c>
      <c r="O358">
        <f>SUM(O338:O357)</f>
        <v>923</v>
      </c>
      <c r="P358">
        <f>SUM(P338:P357)</f>
        <v>920</v>
      </c>
      <c r="T358">
        <f>T338+T339+T340+T341+T342+T343+T344+T345+T346+T347+T348+T349+T350+T351+T352+T353+T354+T355+T356+T357</f>
        <v>2147</v>
      </c>
    </row>
    <row r="361" spans="1:21">
      <c r="B361" t="s">
        <v>38</v>
      </c>
      <c r="C361" t="s">
        <v>213</v>
      </c>
      <c r="M361" t="s">
        <v>38</v>
      </c>
      <c r="N361" t="s">
        <v>214</v>
      </c>
    </row>
    <row r="362" spans="1:21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7</v>
      </c>
      <c r="I362" t="s">
        <v>8</v>
      </c>
      <c r="J362" t="s">
        <v>51</v>
      </c>
      <c r="L362" t="s">
        <v>0</v>
      </c>
      <c r="M362" t="s">
        <v>1</v>
      </c>
      <c r="N362" t="s">
        <v>2</v>
      </c>
      <c r="O362" t="s">
        <v>3</v>
      </c>
      <c r="P362" t="s">
        <v>4</v>
      </c>
      <c r="Q362" t="s">
        <v>5</v>
      </c>
      <c r="R362" t="s">
        <v>6</v>
      </c>
      <c r="S362" t="s">
        <v>7</v>
      </c>
      <c r="T362" t="s">
        <v>8</v>
      </c>
      <c r="U362" t="s">
        <v>51</v>
      </c>
    </row>
    <row r="363" spans="1:21">
      <c r="A363">
        <v>1</v>
      </c>
      <c r="B363" t="s">
        <v>9</v>
      </c>
      <c r="C363" s="2">
        <v>45780</v>
      </c>
      <c r="D363">
        <v>36</v>
      </c>
      <c r="E363">
        <v>25</v>
      </c>
      <c r="F363">
        <v>11</v>
      </c>
      <c r="G363">
        <v>12</v>
      </c>
      <c r="H363">
        <v>23</v>
      </c>
      <c r="I363">
        <f>D363+E363+H363</f>
        <v>84</v>
      </c>
      <c r="J363" t="s">
        <v>50</v>
      </c>
      <c r="L363">
        <v>1</v>
      </c>
      <c r="M363" t="s">
        <v>9</v>
      </c>
      <c r="N363" s="2">
        <v>45781</v>
      </c>
      <c r="T363">
        <f>O363+P363+S363</f>
        <v>0</v>
      </c>
      <c r="U363" t="s">
        <v>50</v>
      </c>
    </row>
    <row r="364" spans="1:21">
      <c r="A364">
        <v>2</v>
      </c>
      <c r="B364" t="s">
        <v>11</v>
      </c>
      <c r="C364" s="2">
        <v>45780</v>
      </c>
      <c r="D364">
        <v>10</v>
      </c>
      <c r="E364">
        <v>7</v>
      </c>
      <c r="H364">
        <v>0</v>
      </c>
      <c r="I364">
        <f>D364+E364+H364</f>
        <v>17</v>
      </c>
      <c r="J364" t="s">
        <v>52</v>
      </c>
      <c r="L364">
        <v>2</v>
      </c>
      <c r="M364" t="s">
        <v>11</v>
      </c>
      <c r="N364" s="2">
        <v>45781</v>
      </c>
      <c r="O364">
        <v>13</v>
      </c>
      <c r="P364">
        <v>10</v>
      </c>
      <c r="Q364">
        <v>1</v>
      </c>
      <c r="R364">
        <v>0</v>
      </c>
      <c r="S364">
        <v>1</v>
      </c>
      <c r="T364">
        <f>O364+P364+S364</f>
        <v>24</v>
      </c>
      <c r="U364" t="s">
        <v>52</v>
      </c>
    </row>
    <row r="365" spans="1:21">
      <c r="A365">
        <v>3</v>
      </c>
      <c r="B365" t="s">
        <v>12</v>
      </c>
      <c r="C365" s="2">
        <v>45780</v>
      </c>
      <c r="D365">
        <v>43</v>
      </c>
      <c r="E365">
        <v>41</v>
      </c>
      <c r="H365">
        <v>0</v>
      </c>
      <c r="I365">
        <f>SUM(D365,E365,H365)</f>
        <v>84</v>
      </c>
      <c r="J365" t="s">
        <v>53</v>
      </c>
      <c r="L365">
        <v>3</v>
      </c>
      <c r="M365" t="s">
        <v>12</v>
      </c>
      <c r="N365" s="2">
        <v>45781</v>
      </c>
      <c r="O365">
        <v>35</v>
      </c>
      <c r="P365">
        <v>21</v>
      </c>
      <c r="S365">
        <v>0</v>
      </c>
      <c r="T365">
        <f>SUM(O365,P365,S365)</f>
        <v>56</v>
      </c>
      <c r="U365" t="s">
        <v>53</v>
      </c>
    </row>
    <row r="366" spans="1:21">
      <c r="A366">
        <v>4</v>
      </c>
      <c r="B366" t="s">
        <v>13</v>
      </c>
      <c r="C366" s="2">
        <v>45780</v>
      </c>
      <c r="D366">
        <v>27</v>
      </c>
      <c r="E366">
        <v>5</v>
      </c>
      <c r="H366">
        <v>3</v>
      </c>
      <c r="I366">
        <f t="shared" ref="I366:I380" si="50">D366+E366+H366</f>
        <v>35</v>
      </c>
      <c r="J366" t="s">
        <v>52</v>
      </c>
      <c r="L366">
        <v>4</v>
      </c>
      <c r="M366" t="s">
        <v>13</v>
      </c>
      <c r="N366" s="2">
        <v>45781</v>
      </c>
      <c r="O366">
        <v>20</v>
      </c>
      <c r="P366">
        <v>8</v>
      </c>
      <c r="Q366">
        <v>0</v>
      </c>
      <c r="R366">
        <v>0</v>
      </c>
      <c r="S366">
        <v>0</v>
      </c>
      <c r="T366">
        <f t="shared" ref="T366:T380" si="51">O366+P366+S366</f>
        <v>28</v>
      </c>
      <c r="U366" t="s">
        <v>52</v>
      </c>
    </row>
    <row r="367" spans="1:21">
      <c r="A367">
        <v>5</v>
      </c>
      <c r="B367" t="s">
        <v>14</v>
      </c>
      <c r="C367" s="2">
        <v>45780</v>
      </c>
      <c r="D367">
        <v>189</v>
      </c>
      <c r="E367">
        <v>289</v>
      </c>
      <c r="H367">
        <v>109</v>
      </c>
      <c r="I367">
        <f t="shared" si="50"/>
        <v>587</v>
      </c>
      <c r="J367" t="s">
        <v>54</v>
      </c>
      <c r="L367">
        <v>5</v>
      </c>
      <c r="M367" t="s">
        <v>14</v>
      </c>
      <c r="N367" s="2">
        <v>45781</v>
      </c>
      <c r="T367">
        <f t="shared" si="51"/>
        <v>0</v>
      </c>
      <c r="U367" t="s">
        <v>54</v>
      </c>
    </row>
    <row r="368" spans="1:21">
      <c r="A368">
        <v>6</v>
      </c>
      <c r="B368" t="s">
        <v>15</v>
      </c>
      <c r="C368" s="2">
        <v>45780</v>
      </c>
      <c r="D368">
        <v>86</v>
      </c>
      <c r="E368">
        <v>44</v>
      </c>
      <c r="H368">
        <v>0</v>
      </c>
      <c r="I368">
        <f t="shared" si="50"/>
        <v>130</v>
      </c>
      <c r="J368" t="s">
        <v>55</v>
      </c>
      <c r="L368">
        <v>6</v>
      </c>
      <c r="M368" t="s">
        <v>15</v>
      </c>
      <c r="N368" s="2">
        <v>45781</v>
      </c>
      <c r="O368">
        <v>100</v>
      </c>
      <c r="P368">
        <v>56</v>
      </c>
      <c r="S368">
        <v>0</v>
      </c>
      <c r="T368">
        <f t="shared" si="51"/>
        <v>156</v>
      </c>
      <c r="U368" t="s">
        <v>55</v>
      </c>
    </row>
    <row r="369" spans="1:21">
      <c r="A369">
        <v>7</v>
      </c>
      <c r="B369" t="s">
        <v>16</v>
      </c>
      <c r="C369" s="2">
        <v>45780</v>
      </c>
      <c r="I369">
        <f t="shared" si="50"/>
        <v>0</v>
      </c>
      <c r="J369" t="s">
        <v>52</v>
      </c>
      <c r="L369">
        <v>7</v>
      </c>
      <c r="M369" t="s">
        <v>16</v>
      </c>
      <c r="N369" s="2">
        <v>45781</v>
      </c>
      <c r="O369">
        <v>45</v>
      </c>
      <c r="P369">
        <v>50</v>
      </c>
      <c r="Q369">
        <v>3</v>
      </c>
      <c r="R369">
        <v>0</v>
      </c>
      <c r="S369">
        <v>3</v>
      </c>
      <c r="T369">
        <f t="shared" si="51"/>
        <v>98</v>
      </c>
      <c r="U369" t="s">
        <v>52</v>
      </c>
    </row>
    <row r="370" spans="1:21">
      <c r="A370">
        <v>8</v>
      </c>
      <c r="B370" t="s">
        <v>17</v>
      </c>
      <c r="C370" s="2">
        <v>45780</v>
      </c>
      <c r="D370">
        <v>23</v>
      </c>
      <c r="E370">
        <v>7</v>
      </c>
      <c r="H370">
        <v>1</v>
      </c>
      <c r="I370">
        <f t="shared" si="50"/>
        <v>31</v>
      </c>
      <c r="J370" t="s">
        <v>50</v>
      </c>
      <c r="L370">
        <v>8</v>
      </c>
      <c r="M370" t="s">
        <v>17</v>
      </c>
      <c r="N370" s="2">
        <v>45781</v>
      </c>
      <c r="O370">
        <v>99</v>
      </c>
      <c r="P370">
        <v>92</v>
      </c>
      <c r="S370">
        <v>1</v>
      </c>
      <c r="T370">
        <f t="shared" si="51"/>
        <v>192</v>
      </c>
      <c r="U370" t="s">
        <v>50</v>
      </c>
    </row>
    <row r="371" spans="1:21">
      <c r="A371">
        <v>9</v>
      </c>
      <c r="B371" t="s">
        <v>18</v>
      </c>
      <c r="C371" s="2">
        <v>45780</v>
      </c>
      <c r="D371">
        <v>57</v>
      </c>
      <c r="E371">
        <v>9</v>
      </c>
      <c r="H371">
        <v>5</v>
      </c>
      <c r="I371">
        <f t="shared" si="50"/>
        <v>71</v>
      </c>
      <c r="J371" t="s">
        <v>56</v>
      </c>
      <c r="L371">
        <v>9</v>
      </c>
      <c r="M371" t="s">
        <v>18</v>
      </c>
      <c r="N371" s="2">
        <v>45781</v>
      </c>
      <c r="O371">
        <v>39</v>
      </c>
      <c r="P371">
        <v>23</v>
      </c>
      <c r="S371">
        <v>12</v>
      </c>
      <c r="T371">
        <f t="shared" si="51"/>
        <v>74</v>
      </c>
      <c r="U371" t="s">
        <v>56</v>
      </c>
    </row>
    <row r="372" spans="1:21">
      <c r="A372">
        <v>10</v>
      </c>
      <c r="B372" t="s">
        <v>19</v>
      </c>
      <c r="C372" s="2">
        <v>45780</v>
      </c>
      <c r="D372">
        <v>97</v>
      </c>
      <c r="E372">
        <v>54</v>
      </c>
      <c r="H372">
        <v>17</v>
      </c>
      <c r="I372">
        <f t="shared" si="50"/>
        <v>168</v>
      </c>
      <c r="J372" t="s">
        <v>53</v>
      </c>
      <c r="L372">
        <v>10</v>
      </c>
      <c r="M372" t="s">
        <v>19</v>
      </c>
      <c r="N372" s="2">
        <v>45781</v>
      </c>
      <c r="O372">
        <v>54</v>
      </c>
      <c r="P372">
        <v>34</v>
      </c>
      <c r="S372">
        <v>5</v>
      </c>
      <c r="T372">
        <f t="shared" si="51"/>
        <v>93</v>
      </c>
      <c r="U372" t="s">
        <v>53</v>
      </c>
    </row>
    <row r="373" spans="1:21">
      <c r="A373">
        <v>11</v>
      </c>
      <c r="B373" t="s">
        <v>25</v>
      </c>
      <c r="C373" s="2">
        <v>45780</v>
      </c>
      <c r="D373">
        <v>5</v>
      </c>
      <c r="E373">
        <v>2</v>
      </c>
      <c r="F373">
        <v>0</v>
      </c>
      <c r="G373">
        <v>0</v>
      </c>
      <c r="H373">
        <v>0</v>
      </c>
      <c r="I373">
        <f t="shared" si="50"/>
        <v>7</v>
      </c>
      <c r="J373" t="s">
        <v>54</v>
      </c>
      <c r="L373">
        <v>11</v>
      </c>
      <c r="M373" t="s">
        <v>25</v>
      </c>
      <c r="N373" s="2">
        <v>45781</v>
      </c>
      <c r="O373">
        <v>7</v>
      </c>
      <c r="P373">
        <v>0</v>
      </c>
      <c r="Q373">
        <v>0</v>
      </c>
      <c r="R373">
        <v>0</v>
      </c>
      <c r="S373">
        <v>0</v>
      </c>
      <c r="T373">
        <f t="shared" si="51"/>
        <v>7</v>
      </c>
      <c r="U373" t="s">
        <v>54</v>
      </c>
    </row>
    <row r="374" spans="1:21">
      <c r="A374">
        <v>12</v>
      </c>
      <c r="B374" t="s">
        <v>27</v>
      </c>
      <c r="C374" s="2">
        <v>45780</v>
      </c>
      <c r="D374">
        <v>191</v>
      </c>
      <c r="E374">
        <v>179</v>
      </c>
      <c r="F374">
        <v>33</v>
      </c>
      <c r="G374">
        <v>22</v>
      </c>
      <c r="H374">
        <v>55</v>
      </c>
      <c r="I374">
        <f t="shared" si="50"/>
        <v>425</v>
      </c>
      <c r="J374" t="s">
        <v>56</v>
      </c>
      <c r="L374">
        <v>12</v>
      </c>
      <c r="M374" t="s">
        <v>27</v>
      </c>
      <c r="N374" s="2">
        <v>45781</v>
      </c>
      <c r="O374">
        <v>181</v>
      </c>
      <c r="P374">
        <v>190</v>
      </c>
      <c r="Q374">
        <v>42</v>
      </c>
      <c r="R374">
        <v>32</v>
      </c>
      <c r="S374">
        <v>74</v>
      </c>
      <c r="T374">
        <f t="shared" si="51"/>
        <v>445</v>
      </c>
      <c r="U374" t="s">
        <v>56</v>
      </c>
    </row>
    <row r="375" spans="1:21">
      <c r="A375">
        <v>13</v>
      </c>
      <c r="B375" t="s">
        <v>20</v>
      </c>
      <c r="C375" s="2">
        <v>45780</v>
      </c>
      <c r="D375">
        <v>114</v>
      </c>
      <c r="E375">
        <v>130</v>
      </c>
      <c r="F375">
        <v>10</v>
      </c>
      <c r="G375">
        <v>7</v>
      </c>
      <c r="H375">
        <v>17</v>
      </c>
      <c r="I375">
        <f t="shared" si="50"/>
        <v>261</v>
      </c>
      <c r="J375" t="s">
        <v>57</v>
      </c>
      <c r="L375">
        <v>13</v>
      </c>
      <c r="M375" t="s">
        <v>20</v>
      </c>
      <c r="N375" s="2">
        <v>45781</v>
      </c>
      <c r="T375">
        <f t="shared" si="51"/>
        <v>0</v>
      </c>
      <c r="U375" t="s">
        <v>57</v>
      </c>
    </row>
    <row r="376" spans="1:21">
      <c r="A376">
        <v>14</v>
      </c>
      <c r="B376" t="s">
        <v>32</v>
      </c>
      <c r="C376" s="2">
        <v>45780</v>
      </c>
      <c r="D376">
        <v>31</v>
      </c>
      <c r="E376">
        <v>25</v>
      </c>
      <c r="F376">
        <v>3</v>
      </c>
      <c r="G376">
        <v>8</v>
      </c>
      <c r="H376">
        <v>11</v>
      </c>
      <c r="I376">
        <f t="shared" si="50"/>
        <v>67</v>
      </c>
      <c r="J376" t="s">
        <v>50</v>
      </c>
      <c r="L376">
        <v>14</v>
      </c>
      <c r="M376" t="s">
        <v>32</v>
      </c>
      <c r="N376" s="2">
        <v>45781</v>
      </c>
      <c r="T376">
        <f t="shared" si="51"/>
        <v>0</v>
      </c>
      <c r="U376" t="s">
        <v>50</v>
      </c>
    </row>
    <row r="377" spans="1:21">
      <c r="A377">
        <v>15</v>
      </c>
      <c r="B377" t="s">
        <v>48</v>
      </c>
      <c r="C377" s="2">
        <v>45780</v>
      </c>
      <c r="I377">
        <f t="shared" si="50"/>
        <v>0</v>
      </c>
      <c r="J377" t="s">
        <v>59</v>
      </c>
      <c r="L377">
        <v>15</v>
      </c>
      <c r="M377" t="s">
        <v>48</v>
      </c>
      <c r="N377" s="2">
        <v>45781</v>
      </c>
      <c r="T377">
        <f t="shared" si="51"/>
        <v>0</v>
      </c>
      <c r="U377" t="s">
        <v>59</v>
      </c>
    </row>
    <row r="378" spans="1:21">
      <c r="A378">
        <v>16</v>
      </c>
      <c r="B378" t="s">
        <v>37</v>
      </c>
      <c r="C378" s="2">
        <v>45780</v>
      </c>
      <c r="D378">
        <v>21</v>
      </c>
      <c r="E378">
        <v>16</v>
      </c>
      <c r="F378">
        <v>1</v>
      </c>
      <c r="G378">
        <v>1</v>
      </c>
      <c r="H378">
        <v>2</v>
      </c>
      <c r="I378">
        <f t="shared" si="50"/>
        <v>39</v>
      </c>
      <c r="J378" t="s">
        <v>55</v>
      </c>
      <c r="L378">
        <v>16</v>
      </c>
      <c r="M378" t="s">
        <v>37</v>
      </c>
      <c r="N378" s="2">
        <v>45781</v>
      </c>
      <c r="O378">
        <v>19</v>
      </c>
      <c r="P378">
        <v>9</v>
      </c>
      <c r="S378">
        <v>0</v>
      </c>
      <c r="T378">
        <f t="shared" si="51"/>
        <v>28</v>
      </c>
      <c r="U378" t="s">
        <v>55</v>
      </c>
    </row>
    <row r="379" spans="1:21">
      <c r="A379">
        <v>17</v>
      </c>
      <c r="B379" t="s">
        <v>49</v>
      </c>
      <c r="C379" s="2">
        <v>45780</v>
      </c>
      <c r="I379">
        <f t="shared" si="50"/>
        <v>0</v>
      </c>
      <c r="J379" t="s">
        <v>59</v>
      </c>
      <c r="L379">
        <v>17</v>
      </c>
      <c r="M379" t="s">
        <v>49</v>
      </c>
      <c r="N379" s="2">
        <v>45781</v>
      </c>
      <c r="T379">
        <f t="shared" si="51"/>
        <v>0</v>
      </c>
      <c r="U379" t="s">
        <v>59</v>
      </c>
    </row>
    <row r="380" spans="1:21">
      <c r="A380">
        <v>18</v>
      </c>
      <c r="B380" t="s">
        <v>21</v>
      </c>
      <c r="C380" s="2">
        <v>45780</v>
      </c>
      <c r="I380">
        <f t="shared" si="50"/>
        <v>0</v>
      </c>
      <c r="J380" t="s">
        <v>59</v>
      </c>
      <c r="L380">
        <v>18</v>
      </c>
      <c r="M380" t="s">
        <v>21</v>
      </c>
      <c r="N380" s="2">
        <v>45781</v>
      </c>
      <c r="T380">
        <f t="shared" si="51"/>
        <v>0</v>
      </c>
      <c r="U380" t="s">
        <v>59</v>
      </c>
    </row>
    <row r="381" spans="1:21">
      <c r="A381">
        <v>19</v>
      </c>
      <c r="B381" t="s">
        <v>104</v>
      </c>
      <c r="C381" s="2">
        <v>45780</v>
      </c>
      <c r="I381">
        <f>D381+E381+H381</f>
        <v>0</v>
      </c>
      <c r="L381">
        <v>19</v>
      </c>
      <c r="M381" t="s">
        <v>104</v>
      </c>
      <c r="N381" s="2">
        <v>45781</v>
      </c>
      <c r="T381">
        <f>O381+P381+S381</f>
        <v>0</v>
      </c>
    </row>
    <row r="382" spans="1:21">
      <c r="A382">
        <v>20</v>
      </c>
      <c r="B382" t="s">
        <v>26</v>
      </c>
      <c r="C382" s="2">
        <v>45780</v>
      </c>
      <c r="I382">
        <f t="shared" ref="I382" si="52">D382+E382+H382</f>
        <v>0</v>
      </c>
      <c r="J382" t="s">
        <v>54</v>
      </c>
      <c r="L382">
        <v>20</v>
      </c>
      <c r="M382" t="s">
        <v>26</v>
      </c>
      <c r="N382" s="2">
        <v>45781</v>
      </c>
      <c r="T382">
        <f t="shared" ref="T382" si="53">O382+P382+S382</f>
        <v>0</v>
      </c>
      <c r="U382" t="s">
        <v>54</v>
      </c>
    </row>
    <row r="383" spans="1:21">
      <c r="B383" t="s">
        <v>8</v>
      </c>
      <c r="D383">
        <f>SUM(D363:D382)</f>
        <v>930</v>
      </c>
      <c r="E383">
        <f>SUM(E363:E382)</f>
        <v>833</v>
      </c>
      <c r="I383">
        <f>I363+I364+I365+I366+I367+I368+I369+I370+I371+I372+I373+I374+I375+I376+I377+I378+I379+I380+I381+I382</f>
        <v>2006</v>
      </c>
      <c r="M383" t="s">
        <v>8</v>
      </c>
      <c r="O383">
        <f>SUM(O363:O382)</f>
        <v>612</v>
      </c>
      <c r="P383">
        <f>SUM(P363:P382)</f>
        <v>493</v>
      </c>
      <c r="T383">
        <f>T363+T364+T365+T366+T367+T368+T369+T370+T371+T372+T373+T374+T375+T376+T377+T378+T379+T380+T381+T382</f>
        <v>1201</v>
      </c>
    </row>
    <row r="386" spans="1:21">
      <c r="B386" t="s">
        <v>38</v>
      </c>
      <c r="C386" t="s">
        <v>215</v>
      </c>
      <c r="M386" t="s">
        <v>38</v>
      </c>
      <c r="N386" t="s">
        <v>216</v>
      </c>
    </row>
    <row r="387" spans="1:21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51</v>
      </c>
      <c r="L387" t="s">
        <v>0</v>
      </c>
      <c r="M387" t="s">
        <v>1</v>
      </c>
      <c r="N387" t="s">
        <v>2</v>
      </c>
      <c r="O387" t="s">
        <v>3</v>
      </c>
      <c r="P387" t="s">
        <v>4</v>
      </c>
      <c r="Q387" t="s">
        <v>5</v>
      </c>
      <c r="R387" t="s">
        <v>6</v>
      </c>
      <c r="S387" t="s">
        <v>7</v>
      </c>
      <c r="T387" t="s">
        <v>8</v>
      </c>
      <c r="U387" t="s">
        <v>51</v>
      </c>
    </row>
    <row r="388" spans="1:21">
      <c r="A388">
        <v>1</v>
      </c>
      <c r="B388" t="s">
        <v>9</v>
      </c>
      <c r="C388" s="2">
        <v>45782</v>
      </c>
      <c r="D388">
        <v>34</v>
      </c>
      <c r="E388">
        <v>27</v>
      </c>
      <c r="F388">
        <v>8</v>
      </c>
      <c r="G388">
        <v>7</v>
      </c>
      <c r="H388">
        <v>15</v>
      </c>
      <c r="I388">
        <f>D388+E388+H388</f>
        <v>76</v>
      </c>
      <c r="J388" t="s">
        <v>50</v>
      </c>
      <c r="L388">
        <v>1</v>
      </c>
      <c r="M388" t="s">
        <v>9</v>
      </c>
      <c r="N388" s="2">
        <v>45783</v>
      </c>
      <c r="O388">
        <v>27</v>
      </c>
      <c r="P388">
        <v>16</v>
      </c>
      <c r="Q388">
        <v>5</v>
      </c>
      <c r="R388">
        <v>2</v>
      </c>
      <c r="S388">
        <v>7</v>
      </c>
      <c r="T388">
        <f>O388+P388+S388</f>
        <v>50</v>
      </c>
      <c r="U388" t="s">
        <v>50</v>
      </c>
    </row>
    <row r="389" spans="1:21">
      <c r="A389">
        <v>2</v>
      </c>
      <c r="B389" t="s">
        <v>11</v>
      </c>
      <c r="C389" s="2">
        <v>45782</v>
      </c>
      <c r="D389">
        <v>12</v>
      </c>
      <c r="E389">
        <v>6</v>
      </c>
      <c r="H389">
        <v>0</v>
      </c>
      <c r="I389">
        <f>D389+E389+H389</f>
        <v>18</v>
      </c>
      <c r="J389" t="s">
        <v>52</v>
      </c>
      <c r="L389">
        <v>2</v>
      </c>
      <c r="M389" t="s">
        <v>11</v>
      </c>
      <c r="N389" s="2">
        <v>45783</v>
      </c>
      <c r="T389">
        <f>O389+P389+S389</f>
        <v>0</v>
      </c>
      <c r="U389" t="s">
        <v>52</v>
      </c>
    </row>
    <row r="390" spans="1:21">
      <c r="A390">
        <v>3</v>
      </c>
      <c r="B390" t="s">
        <v>12</v>
      </c>
      <c r="C390" s="2">
        <v>45782</v>
      </c>
      <c r="D390">
        <v>13</v>
      </c>
      <c r="E390">
        <v>21</v>
      </c>
      <c r="H390">
        <v>0</v>
      </c>
      <c r="I390">
        <f>SUM(D390,E390,H390)</f>
        <v>34</v>
      </c>
      <c r="J390" t="s">
        <v>53</v>
      </c>
      <c r="L390">
        <v>3</v>
      </c>
      <c r="M390" t="s">
        <v>12</v>
      </c>
      <c r="N390" s="2">
        <v>45783</v>
      </c>
      <c r="O390">
        <v>42</v>
      </c>
      <c r="P390">
        <v>44</v>
      </c>
      <c r="S390">
        <v>0</v>
      </c>
      <c r="T390">
        <f>SUM(O390,P390,S390)</f>
        <v>86</v>
      </c>
      <c r="U390" t="s">
        <v>53</v>
      </c>
    </row>
    <row r="391" spans="1:21">
      <c r="A391">
        <v>4</v>
      </c>
      <c r="B391" t="s">
        <v>13</v>
      </c>
      <c r="C391" s="2">
        <v>45782</v>
      </c>
      <c r="D391">
        <v>75</v>
      </c>
      <c r="E391">
        <v>23</v>
      </c>
      <c r="F391">
        <v>0</v>
      </c>
      <c r="G391">
        <v>0</v>
      </c>
      <c r="H391">
        <v>0</v>
      </c>
      <c r="I391">
        <f t="shared" ref="I391:I405" si="54">D391+E391+H391</f>
        <v>98</v>
      </c>
      <c r="J391" t="s">
        <v>52</v>
      </c>
      <c r="L391">
        <v>4</v>
      </c>
      <c r="M391" t="s">
        <v>13</v>
      </c>
      <c r="N391" s="2">
        <v>45783</v>
      </c>
      <c r="O391">
        <v>61</v>
      </c>
      <c r="P391">
        <v>16</v>
      </c>
      <c r="S391">
        <v>8</v>
      </c>
      <c r="T391">
        <f t="shared" ref="T391:T405" si="55">O391+P391+S391</f>
        <v>85</v>
      </c>
      <c r="U391" t="s">
        <v>52</v>
      </c>
    </row>
    <row r="392" spans="1:21">
      <c r="A392">
        <v>5</v>
      </c>
      <c r="B392" t="s">
        <v>14</v>
      </c>
      <c r="C392" s="2">
        <v>45782</v>
      </c>
      <c r="D392">
        <v>527</v>
      </c>
      <c r="E392">
        <v>297</v>
      </c>
      <c r="H392">
        <v>194</v>
      </c>
      <c r="I392">
        <f t="shared" si="54"/>
        <v>1018</v>
      </c>
      <c r="J392" t="s">
        <v>54</v>
      </c>
      <c r="L392">
        <v>5</v>
      </c>
      <c r="M392" t="s">
        <v>14</v>
      </c>
      <c r="N392" s="2">
        <v>45783</v>
      </c>
      <c r="O392">
        <v>208</v>
      </c>
      <c r="P392">
        <v>343</v>
      </c>
      <c r="S392">
        <v>96</v>
      </c>
      <c r="T392">
        <f t="shared" si="55"/>
        <v>647</v>
      </c>
      <c r="U392" t="s">
        <v>54</v>
      </c>
    </row>
    <row r="393" spans="1:21">
      <c r="A393">
        <v>6</v>
      </c>
      <c r="B393" t="s">
        <v>15</v>
      </c>
      <c r="C393" s="2">
        <v>45782</v>
      </c>
      <c r="I393">
        <f t="shared" si="54"/>
        <v>0</v>
      </c>
      <c r="J393" t="s">
        <v>55</v>
      </c>
      <c r="L393">
        <v>6</v>
      </c>
      <c r="M393" t="s">
        <v>15</v>
      </c>
      <c r="N393" s="2">
        <v>45783</v>
      </c>
      <c r="O393">
        <v>91</v>
      </c>
      <c r="P393">
        <v>75</v>
      </c>
      <c r="S393">
        <v>0</v>
      </c>
      <c r="T393">
        <f t="shared" si="55"/>
        <v>166</v>
      </c>
      <c r="U393" t="s">
        <v>55</v>
      </c>
    </row>
    <row r="394" spans="1:21">
      <c r="A394">
        <v>7</v>
      </c>
      <c r="B394" t="s">
        <v>16</v>
      </c>
      <c r="C394" s="2">
        <v>45782</v>
      </c>
      <c r="I394">
        <f t="shared" si="54"/>
        <v>0</v>
      </c>
      <c r="J394" t="s">
        <v>52</v>
      </c>
      <c r="L394">
        <v>7</v>
      </c>
      <c r="M394" t="s">
        <v>16</v>
      </c>
      <c r="N394" s="2">
        <v>45783</v>
      </c>
      <c r="O394">
        <v>27</v>
      </c>
      <c r="P394">
        <v>36</v>
      </c>
      <c r="S394">
        <v>0</v>
      </c>
      <c r="T394">
        <f t="shared" si="55"/>
        <v>63</v>
      </c>
      <c r="U394" t="s">
        <v>52</v>
      </c>
    </row>
    <row r="395" spans="1:21">
      <c r="A395">
        <v>8</v>
      </c>
      <c r="B395" t="s">
        <v>17</v>
      </c>
      <c r="C395" s="2">
        <v>45782</v>
      </c>
      <c r="D395">
        <v>135</v>
      </c>
      <c r="E395">
        <v>96</v>
      </c>
      <c r="F395">
        <v>15</v>
      </c>
      <c r="G395">
        <v>15</v>
      </c>
      <c r="H395">
        <v>30</v>
      </c>
      <c r="I395">
        <f t="shared" si="54"/>
        <v>261</v>
      </c>
      <c r="J395" t="s">
        <v>50</v>
      </c>
      <c r="L395">
        <v>8</v>
      </c>
      <c r="M395" t="s">
        <v>17</v>
      </c>
      <c r="N395" s="2">
        <v>45783</v>
      </c>
      <c r="T395">
        <f t="shared" si="55"/>
        <v>0</v>
      </c>
      <c r="U395" t="s">
        <v>50</v>
      </c>
    </row>
    <row r="396" spans="1:21">
      <c r="A396">
        <v>9</v>
      </c>
      <c r="B396" t="s">
        <v>18</v>
      </c>
      <c r="C396" s="2">
        <v>45782</v>
      </c>
      <c r="D396">
        <v>50</v>
      </c>
      <c r="E396">
        <v>17</v>
      </c>
      <c r="H396">
        <v>9</v>
      </c>
      <c r="I396">
        <f t="shared" si="54"/>
        <v>76</v>
      </c>
      <c r="J396" t="s">
        <v>56</v>
      </c>
      <c r="L396">
        <v>9</v>
      </c>
      <c r="M396" t="s">
        <v>18</v>
      </c>
      <c r="N396" s="2">
        <v>45783</v>
      </c>
      <c r="O396">
        <v>41</v>
      </c>
      <c r="P396">
        <v>7</v>
      </c>
      <c r="S396">
        <v>6</v>
      </c>
      <c r="T396">
        <f t="shared" si="55"/>
        <v>54</v>
      </c>
      <c r="U396" t="s">
        <v>56</v>
      </c>
    </row>
    <row r="397" spans="1:21">
      <c r="A397">
        <v>10</v>
      </c>
      <c r="B397" t="s">
        <v>19</v>
      </c>
      <c r="C397" s="2">
        <v>45782</v>
      </c>
      <c r="D397">
        <v>147</v>
      </c>
      <c r="E397">
        <v>112</v>
      </c>
      <c r="H397">
        <v>47</v>
      </c>
      <c r="I397">
        <f t="shared" si="54"/>
        <v>306</v>
      </c>
      <c r="J397" t="s">
        <v>53</v>
      </c>
      <c r="L397">
        <v>10</v>
      </c>
      <c r="M397" t="s">
        <v>19</v>
      </c>
      <c r="N397" s="2">
        <v>45783</v>
      </c>
      <c r="O397">
        <v>99</v>
      </c>
      <c r="P397">
        <v>78</v>
      </c>
      <c r="S397">
        <v>30</v>
      </c>
      <c r="T397">
        <f t="shared" si="55"/>
        <v>207</v>
      </c>
      <c r="U397" t="s">
        <v>53</v>
      </c>
    </row>
    <row r="398" spans="1:21">
      <c r="A398">
        <v>11</v>
      </c>
      <c r="B398" t="s">
        <v>25</v>
      </c>
      <c r="C398" s="2">
        <v>45782</v>
      </c>
      <c r="D398">
        <v>8</v>
      </c>
      <c r="E398">
        <v>3</v>
      </c>
      <c r="F398">
        <v>5</v>
      </c>
      <c r="G398">
        <v>0</v>
      </c>
      <c r="H398">
        <v>5</v>
      </c>
      <c r="I398">
        <f t="shared" si="54"/>
        <v>16</v>
      </c>
      <c r="J398" t="s">
        <v>54</v>
      </c>
      <c r="L398">
        <v>11</v>
      </c>
      <c r="M398" t="s">
        <v>25</v>
      </c>
      <c r="N398" s="2">
        <v>45783</v>
      </c>
      <c r="T398">
        <f t="shared" si="55"/>
        <v>0</v>
      </c>
      <c r="U398" t="s">
        <v>54</v>
      </c>
    </row>
    <row r="399" spans="1:21">
      <c r="A399">
        <v>12</v>
      </c>
      <c r="B399" t="s">
        <v>27</v>
      </c>
      <c r="C399" s="2">
        <v>45782</v>
      </c>
      <c r="D399">
        <v>197</v>
      </c>
      <c r="E399">
        <v>187</v>
      </c>
      <c r="F399">
        <v>22</v>
      </c>
      <c r="G399">
        <v>21</v>
      </c>
      <c r="H399">
        <v>43</v>
      </c>
      <c r="I399">
        <f t="shared" si="54"/>
        <v>427</v>
      </c>
      <c r="J399" t="s">
        <v>56</v>
      </c>
      <c r="L399">
        <v>12</v>
      </c>
      <c r="M399" t="s">
        <v>27</v>
      </c>
      <c r="N399" s="2">
        <v>45783</v>
      </c>
      <c r="O399">
        <v>189</v>
      </c>
      <c r="P399">
        <v>185</v>
      </c>
      <c r="Q399">
        <v>21</v>
      </c>
      <c r="R399">
        <v>24</v>
      </c>
      <c r="S399">
        <v>45</v>
      </c>
      <c r="T399">
        <f t="shared" si="55"/>
        <v>419</v>
      </c>
      <c r="U399" t="s">
        <v>56</v>
      </c>
    </row>
    <row r="400" spans="1:21">
      <c r="A400">
        <v>13</v>
      </c>
      <c r="B400" t="s">
        <v>20</v>
      </c>
      <c r="C400" s="2">
        <v>45782</v>
      </c>
      <c r="D400">
        <v>112</v>
      </c>
      <c r="E400">
        <v>137</v>
      </c>
      <c r="F400">
        <v>11</v>
      </c>
      <c r="G400">
        <v>7</v>
      </c>
      <c r="H400">
        <v>18</v>
      </c>
      <c r="I400">
        <f t="shared" si="54"/>
        <v>267</v>
      </c>
      <c r="J400" t="s">
        <v>57</v>
      </c>
      <c r="L400">
        <v>13</v>
      </c>
      <c r="M400" t="s">
        <v>20</v>
      </c>
      <c r="N400" s="2">
        <v>45783</v>
      </c>
      <c r="O400">
        <v>104</v>
      </c>
      <c r="P400">
        <v>115</v>
      </c>
      <c r="Q400">
        <v>6</v>
      </c>
      <c r="R400">
        <v>4</v>
      </c>
      <c r="S400">
        <v>10</v>
      </c>
      <c r="T400">
        <f t="shared" si="55"/>
        <v>229</v>
      </c>
      <c r="U400" t="s">
        <v>57</v>
      </c>
    </row>
    <row r="401" spans="1:21">
      <c r="A401">
        <v>14</v>
      </c>
      <c r="B401" t="s">
        <v>32</v>
      </c>
      <c r="C401" s="2">
        <v>45782</v>
      </c>
      <c r="D401">
        <v>52</v>
      </c>
      <c r="E401">
        <v>115</v>
      </c>
      <c r="F401">
        <v>8</v>
      </c>
      <c r="G401">
        <v>10</v>
      </c>
      <c r="I401">
        <f t="shared" si="54"/>
        <v>167</v>
      </c>
      <c r="J401" t="s">
        <v>50</v>
      </c>
      <c r="L401">
        <v>14</v>
      </c>
      <c r="M401" t="s">
        <v>32</v>
      </c>
      <c r="N401" s="2">
        <v>45783</v>
      </c>
      <c r="T401">
        <f t="shared" si="55"/>
        <v>0</v>
      </c>
      <c r="U401" t="s">
        <v>50</v>
      </c>
    </row>
    <row r="402" spans="1:21">
      <c r="A402">
        <v>15</v>
      </c>
      <c r="B402" t="s">
        <v>48</v>
      </c>
      <c r="C402" s="2">
        <v>45782</v>
      </c>
      <c r="I402">
        <f t="shared" si="54"/>
        <v>0</v>
      </c>
      <c r="J402" t="s">
        <v>59</v>
      </c>
      <c r="L402">
        <v>15</v>
      </c>
      <c r="M402" t="s">
        <v>48</v>
      </c>
      <c r="N402" s="2">
        <v>45783</v>
      </c>
      <c r="T402">
        <f t="shared" si="55"/>
        <v>0</v>
      </c>
      <c r="U402" t="s">
        <v>59</v>
      </c>
    </row>
    <row r="403" spans="1:21">
      <c r="A403">
        <v>16</v>
      </c>
      <c r="B403" t="s">
        <v>37</v>
      </c>
      <c r="C403" s="2">
        <v>45782</v>
      </c>
      <c r="D403">
        <v>12</v>
      </c>
      <c r="E403">
        <v>10</v>
      </c>
      <c r="F403">
        <v>1</v>
      </c>
      <c r="G403">
        <v>1</v>
      </c>
      <c r="H403">
        <v>2</v>
      </c>
      <c r="I403">
        <f t="shared" si="54"/>
        <v>24</v>
      </c>
      <c r="J403" t="s">
        <v>55</v>
      </c>
      <c r="L403">
        <v>16</v>
      </c>
      <c r="M403" t="s">
        <v>37</v>
      </c>
      <c r="N403" s="2">
        <v>45783</v>
      </c>
      <c r="T403">
        <f t="shared" si="55"/>
        <v>0</v>
      </c>
      <c r="U403" t="s">
        <v>55</v>
      </c>
    </row>
    <row r="404" spans="1:21">
      <c r="A404">
        <v>17</v>
      </c>
      <c r="B404" t="s">
        <v>49</v>
      </c>
      <c r="C404" s="2">
        <v>45782</v>
      </c>
      <c r="I404">
        <f t="shared" si="54"/>
        <v>0</v>
      </c>
      <c r="J404" t="s">
        <v>59</v>
      </c>
      <c r="L404">
        <v>17</v>
      </c>
      <c r="M404" t="s">
        <v>49</v>
      </c>
      <c r="N404" s="2">
        <v>45783</v>
      </c>
      <c r="T404">
        <f t="shared" si="55"/>
        <v>0</v>
      </c>
      <c r="U404" t="s">
        <v>59</v>
      </c>
    </row>
    <row r="405" spans="1:21">
      <c r="A405">
        <v>18</v>
      </c>
      <c r="B405" t="s">
        <v>21</v>
      </c>
      <c r="C405" s="2">
        <v>45782</v>
      </c>
      <c r="I405">
        <f t="shared" si="54"/>
        <v>0</v>
      </c>
      <c r="J405" t="s">
        <v>59</v>
      </c>
      <c r="L405">
        <v>18</v>
      </c>
      <c r="M405" t="s">
        <v>21</v>
      </c>
      <c r="N405" s="2">
        <v>45783</v>
      </c>
      <c r="T405">
        <f t="shared" si="55"/>
        <v>0</v>
      </c>
      <c r="U405" t="s">
        <v>59</v>
      </c>
    </row>
    <row r="406" spans="1:21">
      <c r="A406">
        <v>19</v>
      </c>
      <c r="B406" t="s">
        <v>104</v>
      </c>
      <c r="C406" s="2">
        <v>45782</v>
      </c>
      <c r="I406">
        <f>D406+E406+H406</f>
        <v>0</v>
      </c>
      <c r="J406" t="s">
        <v>56</v>
      </c>
      <c r="L406">
        <v>19</v>
      </c>
      <c r="M406" t="s">
        <v>104</v>
      </c>
      <c r="N406" s="2">
        <v>45783</v>
      </c>
      <c r="T406">
        <f>O406+P406+S406</f>
        <v>0</v>
      </c>
    </row>
    <row r="407" spans="1:21">
      <c r="A407">
        <v>20</v>
      </c>
      <c r="B407" t="s">
        <v>26</v>
      </c>
      <c r="C407" s="2">
        <v>45782</v>
      </c>
      <c r="I407">
        <f t="shared" ref="I407" si="56">D407+E407+H407</f>
        <v>0</v>
      </c>
      <c r="J407" t="s">
        <v>54</v>
      </c>
      <c r="L407">
        <v>20</v>
      </c>
      <c r="M407" t="s">
        <v>26</v>
      </c>
      <c r="N407" s="2">
        <v>45783</v>
      </c>
      <c r="T407">
        <f t="shared" ref="T407" si="57">O407+P407+S407</f>
        <v>0</v>
      </c>
      <c r="U407" t="s">
        <v>54</v>
      </c>
    </row>
    <row r="408" spans="1:21">
      <c r="B408" t="s">
        <v>8</v>
      </c>
      <c r="D408">
        <f>SUM(D388:D407)</f>
        <v>1374</v>
      </c>
      <c r="E408">
        <f>SUM(E388:E407)</f>
        <v>1051</v>
      </c>
      <c r="I408">
        <f>I388+I389+I390+I391+I392+I393+I394+I395+I396+I397+I398+I399+I400+I401+I402+I403+I404+I405+I406+I407</f>
        <v>2788</v>
      </c>
      <c r="M408" t="s">
        <v>8</v>
      </c>
      <c r="O408">
        <f>SUM(O388:O407)</f>
        <v>889</v>
      </c>
      <c r="P408">
        <f>SUM(P388:P407)</f>
        <v>915</v>
      </c>
      <c r="T408">
        <f>T388+T389+T390+T391+T392+T393+T394+T395+T396+T397+T398+T399+T400+T401+T402+T403+T404+T405+T406+T407</f>
        <v>2006</v>
      </c>
    </row>
    <row r="411" spans="1:21">
      <c r="B411" t="s">
        <v>38</v>
      </c>
      <c r="C411" t="s">
        <v>217</v>
      </c>
      <c r="M411" t="s">
        <v>38</v>
      </c>
      <c r="N411" t="s">
        <v>218</v>
      </c>
    </row>
    <row r="412" spans="1:21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51</v>
      </c>
      <c r="L412" t="s">
        <v>0</v>
      </c>
      <c r="M412" t="s">
        <v>1</v>
      </c>
      <c r="N412" t="s">
        <v>2</v>
      </c>
      <c r="O412" t="s">
        <v>3</v>
      </c>
      <c r="P412" t="s">
        <v>4</v>
      </c>
      <c r="Q412" t="s">
        <v>5</v>
      </c>
      <c r="R412" t="s">
        <v>6</v>
      </c>
      <c r="S412" t="s">
        <v>7</v>
      </c>
      <c r="T412" t="s">
        <v>8</v>
      </c>
      <c r="U412" t="s">
        <v>51</v>
      </c>
    </row>
    <row r="413" spans="1:21">
      <c r="A413">
        <v>1</v>
      </c>
      <c r="B413" t="s">
        <v>9</v>
      </c>
      <c r="C413" s="2">
        <v>45784</v>
      </c>
      <c r="D413">
        <v>26</v>
      </c>
      <c r="E413">
        <v>14</v>
      </c>
      <c r="F413">
        <v>3</v>
      </c>
      <c r="G413">
        <v>2</v>
      </c>
      <c r="H413">
        <v>5</v>
      </c>
      <c r="I413">
        <f>D413+E413+H413</f>
        <v>45</v>
      </c>
      <c r="J413" t="s">
        <v>50</v>
      </c>
      <c r="L413">
        <v>1</v>
      </c>
      <c r="M413" t="s">
        <v>9</v>
      </c>
      <c r="N413" s="2">
        <v>45785</v>
      </c>
      <c r="O413">
        <v>22</v>
      </c>
      <c r="P413">
        <v>17</v>
      </c>
      <c r="Q413">
        <v>3</v>
      </c>
      <c r="R413">
        <v>0</v>
      </c>
      <c r="S413">
        <v>3</v>
      </c>
      <c r="T413">
        <f>O413+P413+S413</f>
        <v>42</v>
      </c>
      <c r="U413" t="s">
        <v>50</v>
      </c>
    </row>
    <row r="414" spans="1:21">
      <c r="A414">
        <v>2</v>
      </c>
      <c r="B414" t="s">
        <v>11</v>
      </c>
      <c r="C414" s="2">
        <v>45784</v>
      </c>
      <c r="D414">
        <v>15</v>
      </c>
      <c r="E414">
        <v>8</v>
      </c>
      <c r="F414">
        <v>0</v>
      </c>
      <c r="G414">
        <v>0</v>
      </c>
      <c r="H414">
        <v>0</v>
      </c>
      <c r="I414">
        <f>D414+E414+H414</f>
        <v>23</v>
      </c>
      <c r="J414" t="s">
        <v>52</v>
      </c>
      <c r="L414">
        <v>2</v>
      </c>
      <c r="M414" t="s">
        <v>11</v>
      </c>
      <c r="N414" s="2">
        <v>45785</v>
      </c>
      <c r="O414">
        <v>17</v>
      </c>
      <c r="P414">
        <v>7</v>
      </c>
      <c r="Q414">
        <v>2</v>
      </c>
      <c r="R414">
        <v>4</v>
      </c>
      <c r="S414">
        <v>6</v>
      </c>
      <c r="T414">
        <f>O414+P414+S414</f>
        <v>30</v>
      </c>
      <c r="U414" t="s">
        <v>52</v>
      </c>
    </row>
    <row r="415" spans="1:21">
      <c r="A415">
        <v>3</v>
      </c>
      <c r="B415" t="s">
        <v>12</v>
      </c>
      <c r="C415" s="2">
        <v>45784</v>
      </c>
      <c r="D415">
        <v>37</v>
      </c>
      <c r="E415">
        <v>40</v>
      </c>
      <c r="H415">
        <v>0</v>
      </c>
      <c r="I415">
        <f>SUM(D415,E415,H415)</f>
        <v>77</v>
      </c>
      <c r="J415" t="s">
        <v>53</v>
      </c>
      <c r="L415">
        <v>3</v>
      </c>
      <c r="M415" t="s">
        <v>12</v>
      </c>
      <c r="N415" s="2">
        <v>45785</v>
      </c>
      <c r="O415">
        <v>59</v>
      </c>
      <c r="P415">
        <v>34</v>
      </c>
      <c r="S415">
        <v>0</v>
      </c>
      <c r="T415">
        <f>SUM(O415,P415,S415)</f>
        <v>93</v>
      </c>
      <c r="U415" t="s">
        <v>53</v>
      </c>
    </row>
    <row r="416" spans="1:21">
      <c r="A416">
        <v>4</v>
      </c>
      <c r="B416" t="s">
        <v>13</v>
      </c>
      <c r="C416" s="2">
        <v>45784</v>
      </c>
      <c r="D416">
        <v>14</v>
      </c>
      <c r="E416">
        <v>7</v>
      </c>
      <c r="H416">
        <v>1</v>
      </c>
      <c r="I416">
        <f t="shared" ref="I416:I430" si="58">D416+E416+H416</f>
        <v>22</v>
      </c>
      <c r="J416" t="s">
        <v>52</v>
      </c>
      <c r="L416">
        <v>4</v>
      </c>
      <c r="M416" t="s">
        <v>13</v>
      </c>
      <c r="N416" s="2">
        <v>45785</v>
      </c>
      <c r="O416">
        <v>48</v>
      </c>
      <c r="P416">
        <v>7</v>
      </c>
      <c r="S416">
        <v>6</v>
      </c>
      <c r="T416">
        <f t="shared" ref="T416:T430" si="59">O416+P416+S416</f>
        <v>61</v>
      </c>
      <c r="U416" t="s">
        <v>52</v>
      </c>
    </row>
    <row r="417" spans="1:21">
      <c r="A417">
        <v>5</v>
      </c>
      <c r="B417" t="s">
        <v>14</v>
      </c>
      <c r="C417" s="2">
        <v>45784</v>
      </c>
      <c r="D417">
        <v>184</v>
      </c>
      <c r="E417">
        <v>297</v>
      </c>
      <c r="H417">
        <v>81</v>
      </c>
      <c r="I417">
        <f t="shared" si="58"/>
        <v>562</v>
      </c>
      <c r="J417" t="s">
        <v>54</v>
      </c>
      <c r="L417">
        <v>5</v>
      </c>
      <c r="M417" t="s">
        <v>14</v>
      </c>
      <c r="N417" s="2">
        <v>45785</v>
      </c>
      <c r="T417">
        <f t="shared" si="59"/>
        <v>0</v>
      </c>
      <c r="U417" t="s">
        <v>54</v>
      </c>
    </row>
    <row r="418" spans="1:21">
      <c r="A418">
        <v>6</v>
      </c>
      <c r="B418" t="s">
        <v>15</v>
      </c>
      <c r="C418" s="2">
        <v>45784</v>
      </c>
      <c r="I418">
        <f t="shared" si="58"/>
        <v>0</v>
      </c>
      <c r="J418" t="s">
        <v>55</v>
      </c>
      <c r="L418">
        <v>6</v>
      </c>
      <c r="M418" t="s">
        <v>15</v>
      </c>
      <c r="N418" s="2">
        <v>45785</v>
      </c>
      <c r="O418">
        <v>95</v>
      </c>
      <c r="P418">
        <v>79</v>
      </c>
      <c r="S418">
        <v>0</v>
      </c>
      <c r="T418">
        <f t="shared" si="59"/>
        <v>174</v>
      </c>
      <c r="U418" t="s">
        <v>55</v>
      </c>
    </row>
    <row r="419" spans="1:21">
      <c r="A419">
        <v>7</v>
      </c>
      <c r="B419" t="s">
        <v>16</v>
      </c>
      <c r="C419" s="2">
        <v>45784</v>
      </c>
      <c r="I419">
        <f t="shared" si="58"/>
        <v>0</v>
      </c>
      <c r="J419" t="s">
        <v>52</v>
      </c>
      <c r="L419">
        <v>7</v>
      </c>
      <c r="M419" t="s">
        <v>16</v>
      </c>
      <c r="N419" s="2">
        <v>45785</v>
      </c>
      <c r="T419">
        <f t="shared" si="59"/>
        <v>0</v>
      </c>
      <c r="U419" t="s">
        <v>52</v>
      </c>
    </row>
    <row r="420" spans="1:21">
      <c r="A420">
        <v>8</v>
      </c>
      <c r="B420" t="s">
        <v>17</v>
      </c>
      <c r="C420" s="2">
        <v>45784</v>
      </c>
      <c r="D420">
        <v>110</v>
      </c>
      <c r="E420">
        <v>122</v>
      </c>
      <c r="F420">
        <v>20</v>
      </c>
      <c r="G420">
        <v>16</v>
      </c>
      <c r="H420">
        <v>36</v>
      </c>
      <c r="I420">
        <f t="shared" si="58"/>
        <v>268</v>
      </c>
      <c r="J420" t="s">
        <v>50</v>
      </c>
      <c r="L420">
        <v>8</v>
      </c>
      <c r="M420" t="s">
        <v>17</v>
      </c>
      <c r="N420" s="2">
        <v>45785</v>
      </c>
      <c r="O420">
        <v>20</v>
      </c>
      <c r="P420">
        <v>11</v>
      </c>
      <c r="Q420">
        <v>0</v>
      </c>
      <c r="R420">
        <v>0</v>
      </c>
      <c r="S420">
        <v>0</v>
      </c>
      <c r="T420">
        <f t="shared" si="59"/>
        <v>31</v>
      </c>
      <c r="U420" t="s">
        <v>50</v>
      </c>
    </row>
    <row r="421" spans="1:21">
      <c r="A421">
        <v>9</v>
      </c>
      <c r="B421" t="s">
        <v>18</v>
      </c>
      <c r="C421" s="2">
        <v>45784</v>
      </c>
      <c r="D421">
        <v>43</v>
      </c>
      <c r="E421">
        <v>12</v>
      </c>
      <c r="H421">
        <v>6</v>
      </c>
      <c r="I421">
        <f t="shared" si="58"/>
        <v>61</v>
      </c>
      <c r="J421" t="s">
        <v>56</v>
      </c>
      <c r="L421">
        <v>9</v>
      </c>
      <c r="M421" t="s">
        <v>18</v>
      </c>
      <c r="N421" s="2">
        <v>45785</v>
      </c>
      <c r="O421">
        <v>54</v>
      </c>
      <c r="P421">
        <v>8</v>
      </c>
      <c r="S421">
        <v>4</v>
      </c>
      <c r="T421">
        <f t="shared" si="59"/>
        <v>66</v>
      </c>
      <c r="U421" t="s">
        <v>56</v>
      </c>
    </row>
    <row r="422" spans="1:21">
      <c r="A422">
        <v>10</v>
      </c>
      <c r="B422" t="s">
        <v>19</v>
      </c>
      <c r="C422" s="2">
        <v>45784</v>
      </c>
      <c r="D422">
        <v>123</v>
      </c>
      <c r="E422">
        <v>77</v>
      </c>
      <c r="H422">
        <v>45</v>
      </c>
      <c r="I422">
        <f t="shared" si="58"/>
        <v>245</v>
      </c>
      <c r="J422" t="s">
        <v>53</v>
      </c>
      <c r="L422">
        <v>10</v>
      </c>
      <c r="M422" t="s">
        <v>19</v>
      </c>
      <c r="N422" s="2">
        <v>45785</v>
      </c>
      <c r="O422">
        <v>146</v>
      </c>
      <c r="P422">
        <v>110</v>
      </c>
      <c r="S422">
        <v>47</v>
      </c>
      <c r="T422">
        <f t="shared" si="59"/>
        <v>303</v>
      </c>
      <c r="U422" t="s">
        <v>53</v>
      </c>
    </row>
    <row r="423" spans="1:21">
      <c r="A423">
        <v>11</v>
      </c>
      <c r="B423" t="s">
        <v>25</v>
      </c>
      <c r="C423" s="2">
        <v>45784</v>
      </c>
      <c r="D423">
        <v>10</v>
      </c>
      <c r="E423">
        <v>5</v>
      </c>
      <c r="H423">
        <v>0</v>
      </c>
      <c r="I423">
        <f t="shared" si="58"/>
        <v>15</v>
      </c>
      <c r="J423" t="s">
        <v>54</v>
      </c>
      <c r="L423">
        <v>11</v>
      </c>
      <c r="M423" t="s">
        <v>25</v>
      </c>
      <c r="N423" s="2">
        <v>45785</v>
      </c>
      <c r="O423">
        <v>4</v>
      </c>
      <c r="P423">
        <v>0</v>
      </c>
      <c r="Q423">
        <v>0</v>
      </c>
      <c r="R423">
        <v>0</v>
      </c>
      <c r="S423">
        <v>0</v>
      </c>
      <c r="T423">
        <f t="shared" si="59"/>
        <v>4</v>
      </c>
      <c r="U423" t="s">
        <v>54</v>
      </c>
    </row>
    <row r="424" spans="1:21">
      <c r="A424">
        <v>12</v>
      </c>
      <c r="B424" t="s">
        <v>27</v>
      </c>
      <c r="C424" s="2">
        <v>45784</v>
      </c>
      <c r="D424">
        <v>191</v>
      </c>
      <c r="E424">
        <v>172</v>
      </c>
      <c r="F424">
        <v>20</v>
      </c>
      <c r="G424">
        <v>19</v>
      </c>
      <c r="H424">
        <v>39</v>
      </c>
      <c r="I424">
        <f t="shared" si="58"/>
        <v>402</v>
      </c>
      <c r="J424" t="s">
        <v>56</v>
      </c>
      <c r="L424">
        <v>12</v>
      </c>
      <c r="M424" t="s">
        <v>27</v>
      </c>
      <c r="N424" s="2">
        <v>45785</v>
      </c>
      <c r="O424">
        <v>167</v>
      </c>
      <c r="P424">
        <v>155</v>
      </c>
      <c r="Q424">
        <v>19</v>
      </c>
      <c r="R424">
        <v>17</v>
      </c>
      <c r="S424">
        <f>Q424+R424</f>
        <v>36</v>
      </c>
      <c r="T424">
        <f t="shared" si="59"/>
        <v>358</v>
      </c>
      <c r="U424" t="s">
        <v>56</v>
      </c>
    </row>
    <row r="425" spans="1:21">
      <c r="A425">
        <v>13</v>
      </c>
      <c r="B425" t="s">
        <v>20</v>
      </c>
      <c r="C425" s="2">
        <v>45784</v>
      </c>
      <c r="D425">
        <v>107</v>
      </c>
      <c r="E425">
        <v>120</v>
      </c>
      <c r="F425">
        <v>5</v>
      </c>
      <c r="G425">
        <v>7</v>
      </c>
      <c r="H425">
        <v>12</v>
      </c>
      <c r="I425">
        <f t="shared" si="58"/>
        <v>239</v>
      </c>
      <c r="J425" t="s">
        <v>57</v>
      </c>
      <c r="L425">
        <v>13</v>
      </c>
      <c r="M425" t="s">
        <v>20</v>
      </c>
      <c r="N425" s="2">
        <v>45785</v>
      </c>
      <c r="O425">
        <v>109</v>
      </c>
      <c r="P425">
        <v>97</v>
      </c>
      <c r="Q425">
        <v>6</v>
      </c>
      <c r="R425">
        <v>0</v>
      </c>
      <c r="S425">
        <v>6</v>
      </c>
      <c r="T425">
        <f t="shared" si="59"/>
        <v>212</v>
      </c>
      <c r="U425" t="s">
        <v>57</v>
      </c>
    </row>
    <row r="426" spans="1:21">
      <c r="A426">
        <v>14</v>
      </c>
      <c r="B426" t="s">
        <v>32</v>
      </c>
      <c r="C426" s="2">
        <v>45784</v>
      </c>
      <c r="D426">
        <v>24</v>
      </c>
      <c r="E426">
        <v>29</v>
      </c>
      <c r="F426">
        <v>5</v>
      </c>
      <c r="G426">
        <v>4</v>
      </c>
      <c r="H426">
        <v>9</v>
      </c>
      <c r="I426">
        <f t="shared" si="58"/>
        <v>62</v>
      </c>
      <c r="J426" t="s">
        <v>50</v>
      </c>
      <c r="L426">
        <v>14</v>
      </c>
      <c r="M426" t="s">
        <v>32</v>
      </c>
      <c r="N426" s="2">
        <v>45785</v>
      </c>
      <c r="O426">
        <v>53</v>
      </c>
      <c r="P426">
        <v>99</v>
      </c>
      <c r="Q426">
        <v>5</v>
      </c>
      <c r="R426">
        <v>10</v>
      </c>
      <c r="S426">
        <v>15</v>
      </c>
      <c r="T426">
        <f t="shared" si="59"/>
        <v>167</v>
      </c>
      <c r="U426" t="s">
        <v>50</v>
      </c>
    </row>
    <row r="427" spans="1:21">
      <c r="A427">
        <v>15</v>
      </c>
      <c r="B427" t="s">
        <v>48</v>
      </c>
      <c r="C427" s="2">
        <v>45784</v>
      </c>
      <c r="I427">
        <f t="shared" si="58"/>
        <v>0</v>
      </c>
      <c r="J427" t="s">
        <v>59</v>
      </c>
      <c r="L427">
        <v>15</v>
      </c>
      <c r="M427" t="s">
        <v>48</v>
      </c>
      <c r="N427" s="2">
        <v>45785</v>
      </c>
      <c r="T427">
        <f t="shared" si="59"/>
        <v>0</v>
      </c>
      <c r="U427" t="s">
        <v>59</v>
      </c>
    </row>
    <row r="428" spans="1:21">
      <c r="A428">
        <v>16</v>
      </c>
      <c r="B428" t="s">
        <v>37</v>
      </c>
      <c r="C428" s="2">
        <v>45784</v>
      </c>
      <c r="I428">
        <f t="shared" si="58"/>
        <v>0</v>
      </c>
      <c r="J428" t="s">
        <v>55</v>
      </c>
      <c r="L428">
        <v>16</v>
      </c>
      <c r="M428" t="s">
        <v>37</v>
      </c>
      <c r="N428" s="2">
        <v>45785</v>
      </c>
      <c r="T428">
        <f t="shared" si="59"/>
        <v>0</v>
      </c>
      <c r="U428" t="s">
        <v>55</v>
      </c>
    </row>
    <row r="429" spans="1:21">
      <c r="A429">
        <v>17</v>
      </c>
      <c r="B429" t="s">
        <v>49</v>
      </c>
      <c r="C429" s="2">
        <v>45784</v>
      </c>
      <c r="I429">
        <f t="shared" si="58"/>
        <v>0</v>
      </c>
      <c r="J429" t="s">
        <v>59</v>
      </c>
      <c r="L429">
        <v>17</v>
      </c>
      <c r="M429" t="s">
        <v>49</v>
      </c>
      <c r="N429" s="2">
        <v>45785</v>
      </c>
      <c r="T429">
        <f t="shared" si="59"/>
        <v>0</v>
      </c>
      <c r="U429" t="s">
        <v>59</v>
      </c>
    </row>
    <row r="430" spans="1:21">
      <c r="A430">
        <v>18</v>
      </c>
      <c r="B430" t="s">
        <v>21</v>
      </c>
      <c r="C430" s="2">
        <v>45784</v>
      </c>
      <c r="I430">
        <f t="shared" si="58"/>
        <v>0</v>
      </c>
      <c r="J430" t="s">
        <v>59</v>
      </c>
      <c r="L430">
        <v>18</v>
      </c>
      <c r="M430" t="s">
        <v>21</v>
      </c>
      <c r="N430" s="2">
        <v>45785</v>
      </c>
      <c r="O430">
        <v>263</v>
      </c>
      <c r="P430">
        <v>281</v>
      </c>
      <c r="S430">
        <v>0</v>
      </c>
      <c r="T430">
        <f t="shared" si="59"/>
        <v>544</v>
      </c>
      <c r="U430" t="s">
        <v>59</v>
      </c>
    </row>
    <row r="431" spans="1:21">
      <c r="A431">
        <v>19</v>
      </c>
      <c r="B431" t="s">
        <v>104</v>
      </c>
      <c r="C431" s="2">
        <v>45784</v>
      </c>
      <c r="I431">
        <f>D431+E431+H431</f>
        <v>0</v>
      </c>
      <c r="J431" t="s">
        <v>56</v>
      </c>
      <c r="L431">
        <v>19</v>
      </c>
      <c r="M431" t="s">
        <v>104</v>
      </c>
      <c r="N431" s="2">
        <v>45785</v>
      </c>
      <c r="T431">
        <f>O431+P431+S431</f>
        <v>0</v>
      </c>
    </row>
    <row r="432" spans="1:21">
      <c r="A432">
        <v>20</v>
      </c>
      <c r="B432" t="s">
        <v>26</v>
      </c>
      <c r="C432" s="2">
        <v>45784</v>
      </c>
      <c r="I432">
        <f t="shared" ref="I432" si="60">D432+E432+H432</f>
        <v>0</v>
      </c>
      <c r="J432" t="s">
        <v>54</v>
      </c>
      <c r="L432">
        <v>20</v>
      </c>
      <c r="M432" t="s">
        <v>26</v>
      </c>
      <c r="N432" s="2">
        <v>45785</v>
      </c>
      <c r="T432">
        <f t="shared" ref="T432" si="61">O432+P432+S432</f>
        <v>0</v>
      </c>
      <c r="U432" t="s">
        <v>54</v>
      </c>
    </row>
    <row r="433" spans="1:21">
      <c r="B433" t="s">
        <v>8</v>
      </c>
      <c r="D433">
        <f>SUM(D413:D432)</f>
        <v>884</v>
      </c>
      <c r="E433">
        <f>SUM(E413:E432)</f>
        <v>903</v>
      </c>
      <c r="I433">
        <f>I413+I414+I415+I416+I417+I418+I419+I420+I421+I422+I423+I424+I425+I426+I427+I428+I429+I430+I431+I432</f>
        <v>2021</v>
      </c>
      <c r="M433" t="s">
        <v>8</v>
      </c>
      <c r="O433">
        <f>SUM(O413:O432)</f>
        <v>1057</v>
      </c>
      <c r="P433">
        <f>SUM(P413:P432)</f>
        <v>905</v>
      </c>
      <c r="T433">
        <f>T413+T414+T415+T416+T417+T418+T419+T420+T421+T422+T423+T424+T425+T426+T427+T428+T429+T430+T431+T432</f>
        <v>2085</v>
      </c>
    </row>
    <row r="436" spans="1:21">
      <c r="B436" t="s">
        <v>38</v>
      </c>
      <c r="C436" t="s">
        <v>219</v>
      </c>
      <c r="M436" t="s">
        <v>38</v>
      </c>
      <c r="N436" t="s">
        <v>220</v>
      </c>
    </row>
    <row r="437" spans="1:21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t="s">
        <v>7</v>
      </c>
      <c r="I437" t="s">
        <v>8</v>
      </c>
      <c r="J437" t="s">
        <v>51</v>
      </c>
      <c r="L437" t="s">
        <v>0</v>
      </c>
      <c r="M437" t="s">
        <v>1</v>
      </c>
      <c r="N437" t="s">
        <v>2</v>
      </c>
      <c r="O437" t="s">
        <v>3</v>
      </c>
      <c r="P437" t="s">
        <v>4</v>
      </c>
      <c r="Q437" t="s">
        <v>5</v>
      </c>
      <c r="R437" t="s">
        <v>6</v>
      </c>
      <c r="S437" t="s">
        <v>7</v>
      </c>
      <c r="T437" t="s">
        <v>8</v>
      </c>
      <c r="U437" t="s">
        <v>51</v>
      </c>
    </row>
    <row r="438" spans="1:21">
      <c r="A438">
        <v>1</v>
      </c>
      <c r="B438" t="s">
        <v>9</v>
      </c>
      <c r="C438" s="2">
        <v>45786</v>
      </c>
      <c r="D438">
        <v>30</v>
      </c>
      <c r="E438">
        <v>34</v>
      </c>
      <c r="F438">
        <v>6</v>
      </c>
      <c r="G438">
        <v>5</v>
      </c>
      <c r="H438">
        <v>11</v>
      </c>
      <c r="I438">
        <f>D438+E438+H438</f>
        <v>75</v>
      </c>
      <c r="J438" t="s">
        <v>50</v>
      </c>
      <c r="L438">
        <v>1</v>
      </c>
      <c r="M438" t="s">
        <v>9</v>
      </c>
      <c r="N438" s="2">
        <v>45787</v>
      </c>
      <c r="O438">
        <v>36</v>
      </c>
      <c r="P438">
        <v>24</v>
      </c>
      <c r="Q438">
        <v>8</v>
      </c>
      <c r="R438">
        <v>2</v>
      </c>
      <c r="S438">
        <v>10</v>
      </c>
      <c r="T438">
        <f>O438+P438+S438</f>
        <v>70</v>
      </c>
      <c r="U438" t="s">
        <v>50</v>
      </c>
    </row>
    <row r="439" spans="1:21">
      <c r="A439">
        <v>2</v>
      </c>
      <c r="B439" t="s">
        <v>11</v>
      </c>
      <c r="C439" s="2">
        <v>45786</v>
      </c>
      <c r="D439">
        <v>12</v>
      </c>
      <c r="E439">
        <v>5</v>
      </c>
      <c r="F439">
        <v>0</v>
      </c>
      <c r="G439">
        <v>5</v>
      </c>
      <c r="H439">
        <v>5</v>
      </c>
      <c r="I439">
        <f>D439+E439+H439</f>
        <v>22</v>
      </c>
      <c r="J439" t="s">
        <v>52</v>
      </c>
      <c r="L439">
        <v>2</v>
      </c>
      <c r="M439" t="s">
        <v>11</v>
      </c>
      <c r="N439" s="2">
        <v>45787</v>
      </c>
      <c r="O439">
        <v>14</v>
      </c>
      <c r="P439">
        <v>2</v>
      </c>
      <c r="Q439">
        <v>6</v>
      </c>
      <c r="R439">
        <v>4</v>
      </c>
      <c r="S439">
        <v>10</v>
      </c>
      <c r="T439">
        <f>O439+P439+S439</f>
        <v>26</v>
      </c>
      <c r="U439" t="s">
        <v>52</v>
      </c>
    </row>
    <row r="440" spans="1:21">
      <c r="A440">
        <v>3</v>
      </c>
      <c r="B440" t="s">
        <v>12</v>
      </c>
      <c r="C440" s="2">
        <v>45786</v>
      </c>
      <c r="D440">
        <v>36</v>
      </c>
      <c r="E440">
        <v>34</v>
      </c>
      <c r="H440">
        <v>0</v>
      </c>
      <c r="I440">
        <f>SUM(D440,E440,H440)</f>
        <v>70</v>
      </c>
      <c r="J440" t="s">
        <v>53</v>
      </c>
      <c r="L440">
        <v>3</v>
      </c>
      <c r="M440" t="s">
        <v>12</v>
      </c>
      <c r="N440" s="2">
        <v>45787</v>
      </c>
      <c r="O440">
        <v>93</v>
      </c>
      <c r="P440">
        <v>64</v>
      </c>
      <c r="S440">
        <v>0</v>
      </c>
      <c r="T440">
        <f>SUM(O440,P440,S440)</f>
        <v>157</v>
      </c>
      <c r="U440" t="s">
        <v>53</v>
      </c>
    </row>
    <row r="441" spans="1:21">
      <c r="A441">
        <v>4</v>
      </c>
      <c r="B441" t="s">
        <v>13</v>
      </c>
      <c r="C441" s="2">
        <v>45786</v>
      </c>
      <c r="D441">
        <v>25</v>
      </c>
      <c r="E441">
        <v>16</v>
      </c>
      <c r="H441">
        <v>2</v>
      </c>
      <c r="I441">
        <f t="shared" ref="I441:I455" si="62">D441+E441+H441</f>
        <v>43</v>
      </c>
      <c r="J441" t="s">
        <v>52</v>
      </c>
      <c r="L441">
        <v>4</v>
      </c>
      <c r="M441" t="s">
        <v>13</v>
      </c>
      <c r="N441" s="2">
        <v>45787</v>
      </c>
      <c r="O441">
        <v>12</v>
      </c>
      <c r="P441">
        <v>8</v>
      </c>
      <c r="Q441">
        <v>0</v>
      </c>
      <c r="R441">
        <v>0</v>
      </c>
      <c r="S441">
        <v>0</v>
      </c>
      <c r="T441">
        <f t="shared" ref="T441:T455" si="63">O441+P441+S441</f>
        <v>20</v>
      </c>
      <c r="U441" t="s">
        <v>52</v>
      </c>
    </row>
    <row r="442" spans="1:21">
      <c r="A442">
        <v>5</v>
      </c>
      <c r="B442" t="s">
        <v>14</v>
      </c>
      <c r="C442" s="2">
        <v>45786</v>
      </c>
      <c r="D442">
        <v>224</v>
      </c>
      <c r="E442">
        <v>316</v>
      </c>
      <c r="I442">
        <f t="shared" si="62"/>
        <v>540</v>
      </c>
      <c r="J442" t="s">
        <v>54</v>
      </c>
      <c r="L442">
        <v>5</v>
      </c>
      <c r="M442" t="s">
        <v>14</v>
      </c>
      <c r="N442" s="2">
        <v>45787</v>
      </c>
      <c r="O442">
        <v>231</v>
      </c>
      <c r="P442">
        <v>310</v>
      </c>
      <c r="S442">
        <v>184</v>
      </c>
      <c r="T442">
        <f t="shared" si="63"/>
        <v>725</v>
      </c>
      <c r="U442" t="s">
        <v>54</v>
      </c>
    </row>
    <row r="443" spans="1:21">
      <c r="A443">
        <v>6</v>
      </c>
      <c r="B443" t="s">
        <v>15</v>
      </c>
      <c r="C443" s="2">
        <v>45786</v>
      </c>
      <c r="D443">
        <v>83</v>
      </c>
      <c r="E443">
        <v>118</v>
      </c>
      <c r="H443">
        <v>0</v>
      </c>
      <c r="I443">
        <f t="shared" si="62"/>
        <v>201</v>
      </c>
      <c r="J443" t="s">
        <v>55</v>
      </c>
      <c r="L443">
        <v>6</v>
      </c>
      <c r="M443" t="s">
        <v>15</v>
      </c>
      <c r="N443" s="2">
        <v>45787</v>
      </c>
      <c r="O443">
        <v>73</v>
      </c>
      <c r="P443">
        <v>58</v>
      </c>
      <c r="S443">
        <v>0</v>
      </c>
      <c r="T443">
        <f t="shared" si="63"/>
        <v>131</v>
      </c>
      <c r="U443" t="s">
        <v>55</v>
      </c>
    </row>
    <row r="444" spans="1:21">
      <c r="A444">
        <v>7</v>
      </c>
      <c r="B444" t="s">
        <v>16</v>
      </c>
      <c r="C444" s="2">
        <v>45786</v>
      </c>
      <c r="I444">
        <f t="shared" si="62"/>
        <v>0</v>
      </c>
      <c r="J444" t="s">
        <v>52</v>
      </c>
      <c r="L444">
        <v>7</v>
      </c>
      <c r="M444" t="s">
        <v>16</v>
      </c>
      <c r="N444" s="2">
        <v>45787</v>
      </c>
      <c r="T444">
        <f t="shared" si="63"/>
        <v>0</v>
      </c>
      <c r="U444" t="s">
        <v>52</v>
      </c>
    </row>
    <row r="445" spans="1:21">
      <c r="A445">
        <v>8</v>
      </c>
      <c r="B445" t="s">
        <v>17</v>
      </c>
      <c r="C445" s="2">
        <v>45786</v>
      </c>
      <c r="D445">
        <v>161</v>
      </c>
      <c r="E445">
        <v>180</v>
      </c>
      <c r="G445">
        <v>2</v>
      </c>
      <c r="H445">
        <v>2</v>
      </c>
      <c r="I445">
        <f t="shared" si="62"/>
        <v>343</v>
      </c>
      <c r="J445" t="s">
        <v>50</v>
      </c>
      <c r="L445">
        <v>8</v>
      </c>
      <c r="M445" t="s">
        <v>17</v>
      </c>
      <c r="N445" s="2">
        <v>45787</v>
      </c>
      <c r="O445">
        <v>22</v>
      </c>
      <c r="P445">
        <v>11</v>
      </c>
      <c r="S445">
        <v>1</v>
      </c>
      <c r="T445">
        <f t="shared" si="63"/>
        <v>34</v>
      </c>
      <c r="U445" t="s">
        <v>50</v>
      </c>
    </row>
    <row r="446" spans="1:21">
      <c r="A446">
        <v>9</v>
      </c>
      <c r="B446" t="s">
        <v>18</v>
      </c>
      <c r="C446" s="2">
        <v>45786</v>
      </c>
      <c r="D446">
        <v>60</v>
      </c>
      <c r="E446">
        <v>18</v>
      </c>
      <c r="H446">
        <v>9</v>
      </c>
      <c r="I446">
        <f t="shared" si="62"/>
        <v>87</v>
      </c>
      <c r="J446" t="s">
        <v>56</v>
      </c>
      <c r="L446">
        <v>9</v>
      </c>
      <c r="M446" t="s">
        <v>18</v>
      </c>
      <c r="N446" s="2">
        <v>45787</v>
      </c>
      <c r="O446">
        <v>63</v>
      </c>
      <c r="P446">
        <v>13</v>
      </c>
      <c r="S446">
        <v>9</v>
      </c>
      <c r="T446">
        <f t="shared" si="63"/>
        <v>85</v>
      </c>
      <c r="U446" t="s">
        <v>56</v>
      </c>
    </row>
    <row r="447" spans="1:21">
      <c r="A447">
        <v>10</v>
      </c>
      <c r="B447" t="s">
        <v>19</v>
      </c>
      <c r="C447" s="2">
        <v>45786</v>
      </c>
      <c r="D447">
        <v>155</v>
      </c>
      <c r="E447">
        <v>90</v>
      </c>
      <c r="H447">
        <v>45</v>
      </c>
      <c r="I447">
        <f t="shared" si="62"/>
        <v>290</v>
      </c>
      <c r="J447" t="s">
        <v>53</v>
      </c>
      <c r="L447">
        <v>10</v>
      </c>
      <c r="M447" t="s">
        <v>19</v>
      </c>
      <c r="N447" s="2">
        <v>45787</v>
      </c>
      <c r="T447">
        <f t="shared" si="63"/>
        <v>0</v>
      </c>
      <c r="U447" t="s">
        <v>53</v>
      </c>
    </row>
    <row r="448" spans="1:21">
      <c r="A448">
        <v>11</v>
      </c>
      <c r="B448" t="s">
        <v>25</v>
      </c>
      <c r="C448" s="2">
        <v>45786</v>
      </c>
      <c r="D448">
        <v>7</v>
      </c>
      <c r="E448">
        <v>5</v>
      </c>
      <c r="F448">
        <v>0</v>
      </c>
      <c r="G448">
        <v>2</v>
      </c>
      <c r="H448">
        <v>2</v>
      </c>
      <c r="I448">
        <f t="shared" si="62"/>
        <v>14</v>
      </c>
      <c r="J448" t="s">
        <v>54</v>
      </c>
      <c r="L448">
        <v>11</v>
      </c>
      <c r="M448" t="s">
        <v>25</v>
      </c>
      <c r="N448" s="2">
        <v>45787</v>
      </c>
      <c r="O448">
        <v>0</v>
      </c>
      <c r="P448">
        <v>0</v>
      </c>
      <c r="Q448">
        <v>0</v>
      </c>
      <c r="R448">
        <v>0</v>
      </c>
      <c r="S448">
        <v>0</v>
      </c>
      <c r="T448">
        <f t="shared" si="63"/>
        <v>0</v>
      </c>
      <c r="U448" t="s">
        <v>54</v>
      </c>
    </row>
    <row r="449" spans="1:21">
      <c r="A449">
        <v>12</v>
      </c>
      <c r="B449" t="s">
        <v>27</v>
      </c>
      <c r="C449" s="2">
        <v>45786</v>
      </c>
      <c r="D449">
        <v>160</v>
      </c>
      <c r="E449">
        <v>172</v>
      </c>
      <c r="F449">
        <v>19</v>
      </c>
      <c r="G449">
        <v>17</v>
      </c>
      <c r="H449">
        <f>F449+G449</f>
        <v>36</v>
      </c>
      <c r="I449">
        <f t="shared" si="62"/>
        <v>368</v>
      </c>
      <c r="J449" t="s">
        <v>56</v>
      </c>
      <c r="L449">
        <v>12</v>
      </c>
      <c r="M449" t="s">
        <v>27</v>
      </c>
      <c r="N449" s="2">
        <v>45787</v>
      </c>
      <c r="O449">
        <v>169</v>
      </c>
      <c r="P449">
        <v>138</v>
      </c>
      <c r="Q449">
        <v>37</v>
      </c>
      <c r="R449">
        <v>49</v>
      </c>
      <c r="S449">
        <f>Q449+R449</f>
        <v>86</v>
      </c>
      <c r="T449">
        <f t="shared" si="63"/>
        <v>393</v>
      </c>
      <c r="U449" t="s">
        <v>56</v>
      </c>
    </row>
    <row r="450" spans="1:21">
      <c r="A450">
        <v>13</v>
      </c>
      <c r="B450" t="s">
        <v>20</v>
      </c>
      <c r="C450" s="2">
        <v>45786</v>
      </c>
      <c r="I450">
        <f t="shared" si="62"/>
        <v>0</v>
      </c>
      <c r="J450" t="s">
        <v>57</v>
      </c>
      <c r="L450">
        <v>13</v>
      </c>
      <c r="M450" t="s">
        <v>20</v>
      </c>
      <c r="N450" s="2">
        <v>45787</v>
      </c>
      <c r="O450">
        <v>109</v>
      </c>
      <c r="P450">
        <v>136</v>
      </c>
      <c r="Q450">
        <v>9</v>
      </c>
      <c r="R450">
        <v>13</v>
      </c>
      <c r="S450">
        <v>22</v>
      </c>
      <c r="T450">
        <f t="shared" si="63"/>
        <v>267</v>
      </c>
      <c r="U450" t="s">
        <v>57</v>
      </c>
    </row>
    <row r="451" spans="1:21">
      <c r="A451">
        <v>14</v>
      </c>
      <c r="B451" t="s">
        <v>32</v>
      </c>
      <c r="C451" s="2">
        <v>45786</v>
      </c>
      <c r="D451">
        <v>27</v>
      </c>
      <c r="E451">
        <v>28</v>
      </c>
      <c r="F451">
        <v>2</v>
      </c>
      <c r="G451">
        <v>7</v>
      </c>
      <c r="H451">
        <v>9</v>
      </c>
      <c r="I451">
        <f t="shared" si="62"/>
        <v>64</v>
      </c>
      <c r="J451" t="s">
        <v>50</v>
      </c>
      <c r="L451">
        <v>14</v>
      </c>
      <c r="M451" t="s">
        <v>32</v>
      </c>
      <c r="N451" s="2">
        <v>45787</v>
      </c>
      <c r="T451">
        <f t="shared" si="63"/>
        <v>0</v>
      </c>
      <c r="U451" t="s">
        <v>50</v>
      </c>
    </row>
    <row r="452" spans="1:21">
      <c r="A452">
        <v>15</v>
      </c>
      <c r="B452" t="s">
        <v>48</v>
      </c>
      <c r="C452" s="2">
        <v>45786</v>
      </c>
      <c r="I452">
        <f t="shared" si="62"/>
        <v>0</v>
      </c>
      <c r="J452" t="s">
        <v>59</v>
      </c>
      <c r="L452">
        <v>15</v>
      </c>
      <c r="M452" t="s">
        <v>48</v>
      </c>
      <c r="N452" s="2">
        <v>45787</v>
      </c>
      <c r="T452">
        <f t="shared" si="63"/>
        <v>0</v>
      </c>
      <c r="U452" t="s">
        <v>59</v>
      </c>
    </row>
    <row r="453" spans="1:21">
      <c r="A453">
        <v>16</v>
      </c>
      <c r="B453" t="s">
        <v>37</v>
      </c>
      <c r="C453" s="2">
        <v>45786</v>
      </c>
      <c r="I453">
        <f t="shared" si="62"/>
        <v>0</v>
      </c>
      <c r="J453" t="s">
        <v>55</v>
      </c>
      <c r="L453">
        <v>16</v>
      </c>
      <c r="M453" t="s">
        <v>37</v>
      </c>
      <c r="N453" s="2">
        <v>45787</v>
      </c>
      <c r="O453">
        <v>20</v>
      </c>
      <c r="P453">
        <v>15</v>
      </c>
      <c r="Q453">
        <v>1</v>
      </c>
      <c r="R453">
        <v>1</v>
      </c>
      <c r="S453">
        <v>2</v>
      </c>
      <c r="T453">
        <f t="shared" si="63"/>
        <v>37</v>
      </c>
      <c r="U453" t="s">
        <v>55</v>
      </c>
    </row>
    <row r="454" spans="1:21">
      <c r="A454">
        <v>17</v>
      </c>
      <c r="B454" t="s">
        <v>49</v>
      </c>
      <c r="C454" s="2">
        <v>45786</v>
      </c>
      <c r="I454">
        <f t="shared" si="62"/>
        <v>0</v>
      </c>
      <c r="J454" t="s">
        <v>59</v>
      </c>
      <c r="L454">
        <v>17</v>
      </c>
      <c r="M454" t="s">
        <v>49</v>
      </c>
      <c r="N454" s="2">
        <v>45787</v>
      </c>
      <c r="O454">
        <v>20</v>
      </c>
      <c r="P454">
        <v>29</v>
      </c>
      <c r="Q454">
        <v>6</v>
      </c>
      <c r="R454">
        <v>3</v>
      </c>
      <c r="S454">
        <v>9</v>
      </c>
      <c r="T454">
        <f t="shared" si="63"/>
        <v>58</v>
      </c>
      <c r="U454" t="s">
        <v>59</v>
      </c>
    </row>
    <row r="455" spans="1:21">
      <c r="A455">
        <v>18</v>
      </c>
      <c r="B455" t="s">
        <v>21</v>
      </c>
      <c r="C455" s="2">
        <v>45786</v>
      </c>
      <c r="D455">
        <v>344</v>
      </c>
      <c r="E455">
        <v>389</v>
      </c>
      <c r="H455">
        <v>0</v>
      </c>
      <c r="I455">
        <f t="shared" si="62"/>
        <v>733</v>
      </c>
      <c r="J455" t="s">
        <v>59</v>
      </c>
      <c r="L455">
        <v>18</v>
      </c>
      <c r="M455" t="s">
        <v>21</v>
      </c>
      <c r="N455" s="2">
        <v>45787</v>
      </c>
      <c r="O455">
        <v>275</v>
      </c>
      <c r="P455">
        <v>287</v>
      </c>
      <c r="S455">
        <v>0</v>
      </c>
      <c r="T455">
        <f t="shared" si="63"/>
        <v>562</v>
      </c>
      <c r="U455" t="s">
        <v>59</v>
      </c>
    </row>
    <row r="456" spans="1:21">
      <c r="A456">
        <v>19</v>
      </c>
      <c r="B456" t="s">
        <v>104</v>
      </c>
      <c r="C456" s="2">
        <v>45786</v>
      </c>
      <c r="I456">
        <f>D456+E456+H456</f>
        <v>0</v>
      </c>
      <c r="L456">
        <v>19</v>
      </c>
      <c r="M456" t="s">
        <v>104</v>
      </c>
      <c r="N456" s="2">
        <v>45787</v>
      </c>
      <c r="T456">
        <f>O456+P456+S456</f>
        <v>0</v>
      </c>
    </row>
    <row r="457" spans="1:21">
      <c r="A457">
        <v>20</v>
      </c>
      <c r="B457" t="s">
        <v>26</v>
      </c>
      <c r="C457" s="2">
        <v>45786</v>
      </c>
      <c r="I457">
        <f t="shared" ref="I457" si="64">D457+E457+H457</f>
        <v>0</v>
      </c>
      <c r="J457" t="s">
        <v>54</v>
      </c>
      <c r="L457">
        <v>20</v>
      </c>
      <c r="M457" t="s">
        <v>26</v>
      </c>
      <c r="N457" s="2">
        <v>45787</v>
      </c>
      <c r="T457">
        <f t="shared" ref="T457" si="65">O457+P457+S457</f>
        <v>0</v>
      </c>
      <c r="U457" t="s">
        <v>54</v>
      </c>
    </row>
    <row r="458" spans="1:21">
      <c r="B458" t="s">
        <v>8</v>
      </c>
      <c r="D458">
        <f>SUM(D438:D457)</f>
        <v>1324</v>
      </c>
      <c r="E458">
        <f>SUM(E438:E457)</f>
        <v>1405</v>
      </c>
      <c r="I458">
        <f>I438+I439+I440+I441+I442+I443+I444+I445+I446+I447+I448+I449+I450+I451+I452+I453+I454+I455+I456+I457</f>
        <v>2850</v>
      </c>
      <c r="M458" t="s">
        <v>8</v>
      </c>
      <c r="O458">
        <f>SUM(O438:O457)</f>
        <v>1137</v>
      </c>
      <c r="P458">
        <f>SUM(P438:P457)</f>
        <v>1095</v>
      </c>
      <c r="T458">
        <f>T438+T439+T440+T441+T442+T443+T444+T445+T446+T447+T448+T449+T450+T451+T452+T453+T454+T455+T456+T457</f>
        <v>2565</v>
      </c>
    </row>
    <row r="461" spans="1:21">
      <c r="B461" t="s">
        <v>38</v>
      </c>
      <c r="C461" t="s">
        <v>221</v>
      </c>
      <c r="M461" t="s">
        <v>38</v>
      </c>
      <c r="N461" t="s">
        <v>222</v>
      </c>
    </row>
    <row r="462" spans="1:21">
      <c r="A462" t="s">
        <v>0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51</v>
      </c>
      <c r="L462" t="s">
        <v>0</v>
      </c>
      <c r="M462" t="s">
        <v>1</v>
      </c>
      <c r="N462" t="s">
        <v>2</v>
      </c>
      <c r="O462" t="s">
        <v>3</v>
      </c>
      <c r="P462" t="s">
        <v>4</v>
      </c>
      <c r="Q462" t="s">
        <v>5</v>
      </c>
      <c r="R462" t="s">
        <v>6</v>
      </c>
      <c r="S462" t="s">
        <v>7</v>
      </c>
      <c r="T462" t="s">
        <v>8</v>
      </c>
      <c r="U462" t="s">
        <v>51</v>
      </c>
    </row>
    <row r="463" spans="1:21">
      <c r="A463">
        <v>1</v>
      </c>
      <c r="B463" t="s">
        <v>9</v>
      </c>
      <c r="C463" s="3">
        <v>45788</v>
      </c>
      <c r="D463">
        <v>22</v>
      </c>
      <c r="E463">
        <v>15</v>
      </c>
      <c r="F463">
        <v>3</v>
      </c>
      <c r="G463">
        <v>4</v>
      </c>
      <c r="H463">
        <v>7</v>
      </c>
      <c r="I463">
        <f>D463+E463+H463</f>
        <v>44</v>
      </c>
      <c r="J463" t="s">
        <v>50</v>
      </c>
      <c r="L463">
        <v>1</v>
      </c>
      <c r="M463" t="s">
        <v>9</v>
      </c>
      <c r="N463" s="2">
        <v>45789</v>
      </c>
      <c r="O463">
        <v>28</v>
      </c>
      <c r="P463">
        <v>15</v>
      </c>
      <c r="Q463">
        <v>2</v>
      </c>
      <c r="R463">
        <v>1</v>
      </c>
      <c r="S463">
        <v>3</v>
      </c>
      <c r="T463">
        <f>O463+P463+S463</f>
        <v>46</v>
      </c>
      <c r="U463" t="s">
        <v>50</v>
      </c>
    </row>
    <row r="464" spans="1:21">
      <c r="A464">
        <v>2</v>
      </c>
      <c r="B464" t="s">
        <v>11</v>
      </c>
      <c r="C464" s="3">
        <v>45788</v>
      </c>
      <c r="D464">
        <v>18</v>
      </c>
      <c r="E464">
        <v>3</v>
      </c>
      <c r="F464">
        <v>1</v>
      </c>
      <c r="G464">
        <v>6</v>
      </c>
      <c r="H464">
        <v>7</v>
      </c>
      <c r="I464">
        <f>D464+E464+H464</f>
        <v>28</v>
      </c>
      <c r="J464" t="s">
        <v>52</v>
      </c>
      <c r="L464">
        <v>2</v>
      </c>
      <c r="M464" t="s">
        <v>11</v>
      </c>
      <c r="N464" s="2">
        <v>45789</v>
      </c>
      <c r="O464">
        <v>14</v>
      </c>
      <c r="P464">
        <v>3</v>
      </c>
      <c r="Q464">
        <v>4</v>
      </c>
      <c r="R464">
        <v>7</v>
      </c>
      <c r="S464">
        <v>11</v>
      </c>
      <c r="T464">
        <f>O464+P464+S464</f>
        <v>28</v>
      </c>
      <c r="U464" t="s">
        <v>52</v>
      </c>
    </row>
    <row r="465" spans="1:21">
      <c r="A465">
        <v>3</v>
      </c>
      <c r="B465" t="s">
        <v>12</v>
      </c>
      <c r="C465" s="3">
        <v>45788</v>
      </c>
      <c r="D465">
        <v>79</v>
      </c>
      <c r="E465">
        <v>70</v>
      </c>
      <c r="H465">
        <v>0</v>
      </c>
      <c r="I465">
        <f>SUM(D465,E465,H465)</f>
        <v>149</v>
      </c>
      <c r="J465" t="s">
        <v>53</v>
      </c>
      <c r="L465">
        <v>3</v>
      </c>
      <c r="M465" t="s">
        <v>12</v>
      </c>
      <c r="N465" s="2">
        <v>45789</v>
      </c>
      <c r="O465">
        <v>38</v>
      </c>
      <c r="P465">
        <v>27</v>
      </c>
      <c r="S465">
        <v>0</v>
      </c>
      <c r="T465">
        <f>SUM(O465,P465,S465)</f>
        <v>65</v>
      </c>
      <c r="U465" t="s">
        <v>53</v>
      </c>
    </row>
    <row r="466" spans="1:21">
      <c r="A466">
        <v>4</v>
      </c>
      <c r="B466" t="s">
        <v>13</v>
      </c>
      <c r="C466" s="3">
        <v>45788</v>
      </c>
      <c r="D466">
        <v>23</v>
      </c>
      <c r="E466">
        <v>5</v>
      </c>
      <c r="H466">
        <v>2</v>
      </c>
      <c r="I466">
        <f t="shared" ref="I466:I480" si="66">D466+E466+H466</f>
        <v>30</v>
      </c>
      <c r="J466" t="s">
        <v>52</v>
      </c>
      <c r="L466">
        <v>4</v>
      </c>
      <c r="M466" t="s">
        <v>13</v>
      </c>
      <c r="N466" s="2">
        <v>45789</v>
      </c>
      <c r="O466">
        <v>27</v>
      </c>
      <c r="P466">
        <v>38</v>
      </c>
      <c r="S466">
        <v>130</v>
      </c>
      <c r="T466">
        <f t="shared" ref="T466:T480" si="67">O466+P466+S466</f>
        <v>195</v>
      </c>
      <c r="U466" t="s">
        <v>52</v>
      </c>
    </row>
    <row r="467" spans="1:21">
      <c r="A467">
        <v>5</v>
      </c>
      <c r="B467" t="s">
        <v>14</v>
      </c>
      <c r="C467" s="3">
        <v>45788</v>
      </c>
      <c r="D467">
        <v>39</v>
      </c>
      <c r="E467">
        <v>65</v>
      </c>
      <c r="H467">
        <v>20</v>
      </c>
      <c r="I467">
        <f t="shared" si="66"/>
        <v>124</v>
      </c>
      <c r="J467" t="s">
        <v>54</v>
      </c>
      <c r="L467">
        <v>5</v>
      </c>
      <c r="M467" t="s">
        <v>14</v>
      </c>
      <c r="N467" s="2">
        <v>45789</v>
      </c>
      <c r="T467">
        <f t="shared" si="67"/>
        <v>0</v>
      </c>
      <c r="U467" t="s">
        <v>54</v>
      </c>
    </row>
    <row r="468" spans="1:21">
      <c r="A468">
        <v>6</v>
      </c>
      <c r="B468" t="s">
        <v>15</v>
      </c>
      <c r="C468" s="3">
        <v>45788</v>
      </c>
      <c r="D468">
        <v>83</v>
      </c>
      <c r="E468">
        <v>73</v>
      </c>
      <c r="H468">
        <v>0</v>
      </c>
      <c r="I468">
        <f t="shared" si="66"/>
        <v>156</v>
      </c>
      <c r="J468" t="s">
        <v>55</v>
      </c>
      <c r="L468">
        <v>6</v>
      </c>
      <c r="M468" t="s">
        <v>15</v>
      </c>
      <c r="N468" s="2">
        <v>45789</v>
      </c>
      <c r="O468">
        <v>81</v>
      </c>
      <c r="P468">
        <v>53</v>
      </c>
      <c r="S468">
        <v>0</v>
      </c>
      <c r="T468">
        <f t="shared" si="67"/>
        <v>134</v>
      </c>
      <c r="U468" t="s">
        <v>55</v>
      </c>
    </row>
    <row r="469" spans="1:21">
      <c r="A469">
        <v>7</v>
      </c>
      <c r="B469" t="s">
        <v>16</v>
      </c>
      <c r="C469" s="3">
        <v>45788</v>
      </c>
      <c r="I469">
        <f t="shared" si="66"/>
        <v>0</v>
      </c>
      <c r="J469" t="s">
        <v>52</v>
      </c>
      <c r="L469">
        <v>7</v>
      </c>
      <c r="M469" t="s">
        <v>16</v>
      </c>
      <c r="N469" s="2">
        <v>45789</v>
      </c>
      <c r="T469">
        <f t="shared" si="67"/>
        <v>0</v>
      </c>
      <c r="U469" t="s">
        <v>52</v>
      </c>
    </row>
    <row r="470" spans="1:21">
      <c r="A470">
        <v>8</v>
      </c>
      <c r="B470" t="s">
        <v>17</v>
      </c>
      <c r="C470" s="3">
        <v>45788</v>
      </c>
      <c r="D470">
        <v>104</v>
      </c>
      <c r="E470">
        <v>88</v>
      </c>
      <c r="F470">
        <v>16</v>
      </c>
      <c r="G470">
        <v>16</v>
      </c>
      <c r="H470">
        <v>32</v>
      </c>
      <c r="I470">
        <f t="shared" si="66"/>
        <v>224</v>
      </c>
      <c r="J470" t="s">
        <v>50</v>
      </c>
      <c r="L470">
        <v>8</v>
      </c>
      <c r="M470" t="s">
        <v>17</v>
      </c>
      <c r="N470" s="2">
        <v>45789</v>
      </c>
      <c r="O470">
        <v>131</v>
      </c>
      <c r="P470">
        <v>141</v>
      </c>
      <c r="Q470">
        <v>21</v>
      </c>
      <c r="R470">
        <v>15</v>
      </c>
      <c r="T470">
        <f t="shared" si="67"/>
        <v>272</v>
      </c>
      <c r="U470" t="s">
        <v>50</v>
      </c>
    </row>
    <row r="471" spans="1:21">
      <c r="A471">
        <v>9</v>
      </c>
      <c r="B471" t="s">
        <v>18</v>
      </c>
      <c r="C471" s="3">
        <v>45788</v>
      </c>
      <c r="D471">
        <v>54</v>
      </c>
      <c r="E471">
        <v>10</v>
      </c>
      <c r="H471">
        <v>3</v>
      </c>
      <c r="I471">
        <f t="shared" si="66"/>
        <v>67</v>
      </c>
      <c r="J471" t="s">
        <v>56</v>
      </c>
      <c r="L471">
        <v>9</v>
      </c>
      <c r="M471" t="s">
        <v>18</v>
      </c>
      <c r="N471" s="2">
        <v>45789</v>
      </c>
      <c r="O471">
        <v>32</v>
      </c>
      <c r="P471">
        <v>10</v>
      </c>
      <c r="S471">
        <v>11</v>
      </c>
      <c r="T471">
        <f t="shared" si="67"/>
        <v>53</v>
      </c>
      <c r="U471" t="s">
        <v>56</v>
      </c>
    </row>
    <row r="472" spans="1:21">
      <c r="A472">
        <v>10</v>
      </c>
      <c r="B472" t="s">
        <v>19</v>
      </c>
      <c r="C472" s="3">
        <v>45788</v>
      </c>
      <c r="I472">
        <f t="shared" si="66"/>
        <v>0</v>
      </c>
      <c r="J472" t="s">
        <v>53</v>
      </c>
      <c r="L472">
        <v>10</v>
      </c>
      <c r="M472" t="s">
        <v>19</v>
      </c>
      <c r="N472" s="2">
        <v>45789</v>
      </c>
      <c r="O472">
        <v>147</v>
      </c>
      <c r="P472">
        <v>113</v>
      </c>
      <c r="S472">
        <v>55</v>
      </c>
      <c r="T472">
        <f t="shared" si="67"/>
        <v>315</v>
      </c>
      <c r="U472" t="s">
        <v>53</v>
      </c>
    </row>
    <row r="473" spans="1:21">
      <c r="A473">
        <v>11</v>
      </c>
      <c r="B473" t="s">
        <v>25</v>
      </c>
      <c r="C473" s="3">
        <v>45788</v>
      </c>
      <c r="D473">
        <v>7</v>
      </c>
      <c r="E473">
        <v>3</v>
      </c>
      <c r="F473">
        <v>0</v>
      </c>
      <c r="G473">
        <v>1</v>
      </c>
      <c r="H473">
        <v>1</v>
      </c>
      <c r="I473">
        <f t="shared" si="66"/>
        <v>11</v>
      </c>
      <c r="J473" t="s">
        <v>54</v>
      </c>
      <c r="L473">
        <v>11</v>
      </c>
      <c r="M473" t="s">
        <v>25</v>
      </c>
      <c r="N473" s="2">
        <v>45789</v>
      </c>
      <c r="O473">
        <v>9</v>
      </c>
      <c r="P473">
        <v>4</v>
      </c>
      <c r="Q473">
        <v>0</v>
      </c>
      <c r="R473">
        <v>1</v>
      </c>
      <c r="S473">
        <v>1</v>
      </c>
      <c r="T473">
        <f t="shared" si="67"/>
        <v>14</v>
      </c>
      <c r="U473" t="s">
        <v>54</v>
      </c>
    </row>
    <row r="474" spans="1:21">
      <c r="A474">
        <v>12</v>
      </c>
      <c r="B474" t="s">
        <v>27</v>
      </c>
      <c r="C474" s="3">
        <v>45788</v>
      </c>
      <c r="D474">
        <v>124</v>
      </c>
      <c r="E474">
        <v>132</v>
      </c>
      <c r="F474">
        <v>31</v>
      </c>
      <c r="G474">
        <v>29</v>
      </c>
      <c r="H474">
        <f>F474+G474</f>
        <v>60</v>
      </c>
      <c r="I474">
        <f t="shared" si="66"/>
        <v>316</v>
      </c>
      <c r="J474" t="s">
        <v>56</v>
      </c>
      <c r="L474">
        <v>12</v>
      </c>
      <c r="M474" t="s">
        <v>27</v>
      </c>
      <c r="N474" s="2">
        <v>45789</v>
      </c>
      <c r="O474">
        <v>192</v>
      </c>
      <c r="P474">
        <v>199</v>
      </c>
      <c r="Q474">
        <v>26</v>
      </c>
      <c r="R474">
        <v>20</v>
      </c>
      <c r="S474">
        <v>46</v>
      </c>
      <c r="T474">
        <f t="shared" si="67"/>
        <v>437</v>
      </c>
      <c r="U474" t="s">
        <v>56</v>
      </c>
    </row>
    <row r="475" spans="1:21">
      <c r="A475">
        <v>13</v>
      </c>
      <c r="B475" t="s">
        <v>20</v>
      </c>
      <c r="C475" s="3">
        <v>45788</v>
      </c>
      <c r="D475">
        <v>119</v>
      </c>
      <c r="E475">
        <v>104</v>
      </c>
      <c r="F475">
        <v>5</v>
      </c>
      <c r="G475">
        <v>7</v>
      </c>
      <c r="H475">
        <v>12</v>
      </c>
      <c r="I475">
        <f t="shared" si="66"/>
        <v>235</v>
      </c>
      <c r="J475" t="s">
        <v>57</v>
      </c>
      <c r="L475">
        <v>13</v>
      </c>
      <c r="M475" t="s">
        <v>20</v>
      </c>
      <c r="N475" s="2">
        <v>45789</v>
      </c>
      <c r="T475">
        <f t="shared" si="67"/>
        <v>0</v>
      </c>
      <c r="U475" t="s">
        <v>57</v>
      </c>
    </row>
    <row r="476" spans="1:21">
      <c r="A476">
        <v>14</v>
      </c>
      <c r="B476" t="s">
        <v>32</v>
      </c>
      <c r="C476" s="3">
        <v>45788</v>
      </c>
      <c r="D476">
        <v>13</v>
      </c>
      <c r="E476">
        <v>6</v>
      </c>
      <c r="F476">
        <v>0</v>
      </c>
      <c r="G476">
        <v>1</v>
      </c>
      <c r="H476">
        <v>1</v>
      </c>
      <c r="I476">
        <f t="shared" si="66"/>
        <v>20</v>
      </c>
      <c r="J476" t="s">
        <v>50</v>
      </c>
      <c r="L476">
        <v>14</v>
      </c>
      <c r="M476" t="s">
        <v>32</v>
      </c>
      <c r="N476" s="2">
        <v>45789</v>
      </c>
      <c r="O476">
        <v>44</v>
      </c>
      <c r="P476">
        <v>115</v>
      </c>
      <c r="Q476">
        <v>3</v>
      </c>
      <c r="R476">
        <v>8</v>
      </c>
      <c r="S476">
        <v>11</v>
      </c>
      <c r="T476">
        <f t="shared" si="67"/>
        <v>170</v>
      </c>
      <c r="U476" t="s">
        <v>50</v>
      </c>
    </row>
    <row r="477" spans="1:21">
      <c r="A477">
        <v>15</v>
      </c>
      <c r="B477" t="s">
        <v>48</v>
      </c>
      <c r="C477" s="3">
        <v>45788</v>
      </c>
      <c r="I477">
        <f t="shared" si="66"/>
        <v>0</v>
      </c>
      <c r="J477" t="s">
        <v>59</v>
      </c>
      <c r="L477">
        <v>15</v>
      </c>
      <c r="M477" t="s">
        <v>48</v>
      </c>
      <c r="N477" s="2">
        <v>45789</v>
      </c>
      <c r="T477">
        <f t="shared" si="67"/>
        <v>0</v>
      </c>
      <c r="U477" t="s">
        <v>59</v>
      </c>
    </row>
    <row r="478" spans="1:21">
      <c r="A478">
        <v>16</v>
      </c>
      <c r="B478" t="s">
        <v>37</v>
      </c>
      <c r="C478" s="3">
        <v>45788</v>
      </c>
      <c r="I478">
        <f t="shared" si="66"/>
        <v>0</v>
      </c>
      <c r="J478" t="s">
        <v>55</v>
      </c>
      <c r="L478">
        <v>16</v>
      </c>
      <c r="M478" t="s">
        <v>37</v>
      </c>
      <c r="N478" s="2">
        <v>45789</v>
      </c>
      <c r="O478">
        <v>13</v>
      </c>
      <c r="P478">
        <v>20</v>
      </c>
      <c r="Q478">
        <v>0</v>
      </c>
      <c r="R478">
        <v>1</v>
      </c>
      <c r="S478">
        <v>1</v>
      </c>
      <c r="T478">
        <f t="shared" si="67"/>
        <v>34</v>
      </c>
      <c r="U478" t="s">
        <v>55</v>
      </c>
    </row>
    <row r="479" spans="1:21">
      <c r="A479">
        <v>17</v>
      </c>
      <c r="B479" t="s">
        <v>49</v>
      </c>
      <c r="C479" s="3">
        <v>45788</v>
      </c>
      <c r="I479">
        <f t="shared" si="66"/>
        <v>0</v>
      </c>
      <c r="J479" t="s">
        <v>59</v>
      </c>
      <c r="L479">
        <v>17</v>
      </c>
      <c r="M479" t="s">
        <v>49</v>
      </c>
      <c r="N479" s="2">
        <v>45789</v>
      </c>
      <c r="T479">
        <f t="shared" si="67"/>
        <v>0</v>
      </c>
      <c r="U479" t="s">
        <v>59</v>
      </c>
    </row>
    <row r="480" spans="1:21">
      <c r="A480">
        <v>18</v>
      </c>
      <c r="B480" t="s">
        <v>21</v>
      </c>
      <c r="C480" s="3">
        <v>45788</v>
      </c>
      <c r="D480">
        <v>211</v>
      </c>
      <c r="E480">
        <v>243</v>
      </c>
      <c r="H480">
        <v>0</v>
      </c>
      <c r="I480">
        <f t="shared" si="66"/>
        <v>454</v>
      </c>
      <c r="J480" t="s">
        <v>59</v>
      </c>
      <c r="L480">
        <v>18</v>
      </c>
      <c r="M480" t="s">
        <v>21</v>
      </c>
      <c r="N480" s="2">
        <v>45789</v>
      </c>
      <c r="O480">
        <v>412</v>
      </c>
      <c r="P480">
        <v>502</v>
      </c>
      <c r="S480">
        <v>0</v>
      </c>
      <c r="T480">
        <f t="shared" si="67"/>
        <v>914</v>
      </c>
      <c r="U480" t="s">
        <v>59</v>
      </c>
    </row>
    <row r="481" spans="1:21">
      <c r="A481">
        <v>19</v>
      </c>
      <c r="B481" t="s">
        <v>104</v>
      </c>
      <c r="C481" s="3">
        <v>45788</v>
      </c>
      <c r="I481">
        <f>D481+E481+H481</f>
        <v>0</v>
      </c>
      <c r="L481">
        <v>19</v>
      </c>
      <c r="M481" t="s">
        <v>104</v>
      </c>
      <c r="N481" s="2">
        <v>45789</v>
      </c>
      <c r="T481">
        <f>O481+P481+S481</f>
        <v>0</v>
      </c>
    </row>
    <row r="482" spans="1:21">
      <c r="A482">
        <v>20</v>
      </c>
      <c r="B482" t="s">
        <v>26</v>
      </c>
      <c r="C482" s="3">
        <v>45788</v>
      </c>
      <c r="I482">
        <f t="shared" ref="I482" si="68">D482+E482+H482</f>
        <v>0</v>
      </c>
      <c r="J482" t="s">
        <v>54</v>
      </c>
      <c r="L482">
        <v>20</v>
      </c>
      <c r="M482" t="s">
        <v>26</v>
      </c>
      <c r="N482" s="2">
        <v>45789</v>
      </c>
      <c r="T482">
        <f t="shared" ref="T482" si="69">O482+P482+S482</f>
        <v>0</v>
      </c>
      <c r="U482" t="s">
        <v>54</v>
      </c>
    </row>
    <row r="483" spans="1:21">
      <c r="B483" t="s">
        <v>8</v>
      </c>
      <c r="D483">
        <f>SUM(D463:D482)</f>
        <v>896</v>
      </c>
      <c r="E483">
        <f>SUM(E463:E482)</f>
        <v>817</v>
      </c>
      <c r="I483">
        <f>I463+I464+I465+I466+I467+I468+I469+I470+I471+I472+I473+I474+I475+I476+I477+I478+I479+I480+I481+I482</f>
        <v>1858</v>
      </c>
      <c r="M483" t="s">
        <v>8</v>
      </c>
      <c r="O483">
        <f>SUM(O463:O482)</f>
        <v>1168</v>
      </c>
      <c r="P483">
        <f>SUM(P463:P482)</f>
        <v>1240</v>
      </c>
      <c r="T483">
        <f>T463+T464+T465+T466+T467+T468+T469+T470+T471+T472+T473+T474+T475+T476+T477+T478+T479+T480+T481+T482</f>
        <v>2677</v>
      </c>
    </row>
    <row r="486" spans="1:21">
      <c r="B486" t="s">
        <v>38</v>
      </c>
      <c r="C486" t="s">
        <v>223</v>
      </c>
      <c r="M486" t="s">
        <v>38</v>
      </c>
      <c r="N486" t="s">
        <v>224</v>
      </c>
    </row>
    <row r="487" spans="1:21">
      <c r="A487" t="s">
        <v>0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t="s">
        <v>7</v>
      </c>
      <c r="I487" t="s">
        <v>8</v>
      </c>
      <c r="J487" t="s">
        <v>51</v>
      </c>
      <c r="L487" t="s">
        <v>0</v>
      </c>
      <c r="M487" t="s">
        <v>1</v>
      </c>
      <c r="N487" t="s">
        <v>2</v>
      </c>
      <c r="O487" t="s">
        <v>3</v>
      </c>
      <c r="P487" t="s">
        <v>4</v>
      </c>
      <c r="Q487" t="s">
        <v>5</v>
      </c>
      <c r="R487" t="s">
        <v>6</v>
      </c>
      <c r="S487" t="s">
        <v>7</v>
      </c>
      <c r="T487" t="s">
        <v>8</v>
      </c>
      <c r="U487" t="s">
        <v>51</v>
      </c>
    </row>
    <row r="488" spans="1:21">
      <c r="A488">
        <v>1</v>
      </c>
      <c r="B488" t="s">
        <v>9</v>
      </c>
      <c r="C488" s="2">
        <v>45790</v>
      </c>
      <c r="D488">
        <v>29</v>
      </c>
      <c r="E488">
        <v>23</v>
      </c>
      <c r="F488">
        <v>6</v>
      </c>
      <c r="G488">
        <v>1</v>
      </c>
      <c r="H488">
        <v>7</v>
      </c>
      <c r="I488">
        <f>D488+E488+H488</f>
        <v>59</v>
      </c>
      <c r="J488" t="s">
        <v>50</v>
      </c>
      <c r="L488">
        <v>1</v>
      </c>
      <c r="M488" t="s">
        <v>9</v>
      </c>
      <c r="N488" s="2">
        <v>45791</v>
      </c>
      <c r="O488">
        <v>30</v>
      </c>
      <c r="P488">
        <v>16</v>
      </c>
      <c r="Q488">
        <v>9</v>
      </c>
      <c r="R488">
        <v>2</v>
      </c>
      <c r="S488">
        <v>11</v>
      </c>
      <c r="T488">
        <f>O488+P488+S488</f>
        <v>57</v>
      </c>
      <c r="U488" t="s">
        <v>50</v>
      </c>
    </row>
    <row r="489" spans="1:21">
      <c r="A489">
        <v>2</v>
      </c>
      <c r="B489" t="s">
        <v>11</v>
      </c>
      <c r="C489" s="2">
        <v>45790</v>
      </c>
      <c r="D489">
        <v>15</v>
      </c>
      <c r="E489">
        <v>4</v>
      </c>
      <c r="F489">
        <v>1</v>
      </c>
      <c r="G489">
        <v>1</v>
      </c>
      <c r="H489">
        <v>2</v>
      </c>
      <c r="I489">
        <f>D489+E489+H489</f>
        <v>21</v>
      </c>
      <c r="J489" t="s">
        <v>52</v>
      </c>
      <c r="L489">
        <v>2</v>
      </c>
      <c r="M489" t="s">
        <v>11</v>
      </c>
      <c r="N489" s="2">
        <v>45791</v>
      </c>
      <c r="O489">
        <v>14</v>
      </c>
      <c r="P489">
        <v>1</v>
      </c>
      <c r="Q489">
        <v>0</v>
      </c>
      <c r="R489">
        <v>0</v>
      </c>
      <c r="S489">
        <v>0</v>
      </c>
      <c r="T489">
        <f>O489+P489+S489</f>
        <v>15</v>
      </c>
      <c r="U489" t="s">
        <v>52</v>
      </c>
    </row>
    <row r="490" spans="1:21">
      <c r="A490">
        <v>3</v>
      </c>
      <c r="B490" t="s">
        <v>12</v>
      </c>
      <c r="C490" s="2">
        <v>45790</v>
      </c>
      <c r="D490">
        <v>26</v>
      </c>
      <c r="E490">
        <v>25</v>
      </c>
      <c r="H490">
        <v>0</v>
      </c>
      <c r="I490">
        <f>SUM(D490,E490,H490)</f>
        <v>51</v>
      </c>
      <c r="J490" t="s">
        <v>53</v>
      </c>
      <c r="L490">
        <v>3</v>
      </c>
      <c r="M490" t="s">
        <v>12</v>
      </c>
      <c r="N490" s="2">
        <v>45791</v>
      </c>
      <c r="O490">
        <v>37</v>
      </c>
      <c r="P490">
        <v>35</v>
      </c>
      <c r="S490">
        <v>0</v>
      </c>
      <c r="T490">
        <f>SUM(O490,P490,S490)</f>
        <v>72</v>
      </c>
      <c r="U490" t="s">
        <v>53</v>
      </c>
    </row>
    <row r="491" spans="1:21">
      <c r="A491">
        <v>4</v>
      </c>
      <c r="B491" t="s">
        <v>13</v>
      </c>
      <c r="C491" s="2">
        <v>45790</v>
      </c>
      <c r="D491">
        <v>20</v>
      </c>
      <c r="E491">
        <v>9</v>
      </c>
      <c r="H491">
        <v>2</v>
      </c>
      <c r="I491">
        <f t="shared" ref="I491:I505" si="70">D491+E491+H491</f>
        <v>31</v>
      </c>
      <c r="J491" t="s">
        <v>52</v>
      </c>
      <c r="L491">
        <v>4</v>
      </c>
      <c r="M491" t="s">
        <v>13</v>
      </c>
      <c r="N491" s="2">
        <v>45791</v>
      </c>
      <c r="O491">
        <v>26</v>
      </c>
      <c r="P491">
        <v>12</v>
      </c>
      <c r="S491">
        <v>0</v>
      </c>
      <c r="T491">
        <f t="shared" ref="T491:T505" si="71">O491+P491+S491</f>
        <v>38</v>
      </c>
      <c r="U491" t="s">
        <v>52</v>
      </c>
    </row>
    <row r="492" spans="1:21">
      <c r="A492">
        <v>5</v>
      </c>
      <c r="B492" t="s">
        <v>14</v>
      </c>
      <c r="C492" s="2">
        <v>45790</v>
      </c>
      <c r="D492">
        <v>324</v>
      </c>
      <c r="E492">
        <v>480</v>
      </c>
      <c r="H492">
        <v>164</v>
      </c>
      <c r="I492">
        <f t="shared" si="70"/>
        <v>968</v>
      </c>
      <c r="J492" t="s">
        <v>54</v>
      </c>
      <c r="L492">
        <v>5</v>
      </c>
      <c r="M492" t="s">
        <v>14</v>
      </c>
      <c r="N492" s="2">
        <v>45791</v>
      </c>
      <c r="O492">
        <v>177</v>
      </c>
      <c r="P492">
        <v>357</v>
      </c>
      <c r="S492">
        <v>106</v>
      </c>
      <c r="T492">
        <f t="shared" si="71"/>
        <v>640</v>
      </c>
      <c r="U492" t="s">
        <v>54</v>
      </c>
    </row>
    <row r="493" spans="1:21">
      <c r="A493">
        <v>6</v>
      </c>
      <c r="B493" t="s">
        <v>15</v>
      </c>
      <c r="C493" s="2">
        <v>45790</v>
      </c>
      <c r="D493">
        <v>86</v>
      </c>
      <c r="E493">
        <v>48</v>
      </c>
      <c r="H493">
        <v>0</v>
      </c>
      <c r="I493">
        <f t="shared" si="70"/>
        <v>134</v>
      </c>
      <c r="J493" t="s">
        <v>55</v>
      </c>
      <c r="L493">
        <v>6</v>
      </c>
      <c r="M493" t="s">
        <v>15</v>
      </c>
      <c r="N493" s="2">
        <v>45791</v>
      </c>
      <c r="O493">
        <v>85</v>
      </c>
      <c r="P493">
        <v>58</v>
      </c>
      <c r="S493">
        <v>0</v>
      </c>
      <c r="T493">
        <f t="shared" si="71"/>
        <v>143</v>
      </c>
      <c r="U493" t="s">
        <v>55</v>
      </c>
    </row>
    <row r="494" spans="1:21">
      <c r="A494">
        <v>7</v>
      </c>
      <c r="B494" t="s">
        <v>16</v>
      </c>
      <c r="C494" s="2">
        <v>45790</v>
      </c>
      <c r="I494">
        <f t="shared" si="70"/>
        <v>0</v>
      </c>
      <c r="J494" t="s">
        <v>52</v>
      </c>
      <c r="L494">
        <v>7</v>
      </c>
      <c r="M494" t="s">
        <v>16</v>
      </c>
      <c r="N494" s="2">
        <v>45791</v>
      </c>
      <c r="T494">
        <f t="shared" si="71"/>
        <v>0</v>
      </c>
      <c r="U494" t="s">
        <v>52</v>
      </c>
    </row>
    <row r="495" spans="1:21">
      <c r="A495">
        <v>8</v>
      </c>
      <c r="B495" t="s">
        <v>17</v>
      </c>
      <c r="C495" s="2">
        <v>45790</v>
      </c>
      <c r="D495">
        <v>16</v>
      </c>
      <c r="E495">
        <v>14</v>
      </c>
      <c r="H495">
        <v>2</v>
      </c>
      <c r="I495">
        <f t="shared" si="70"/>
        <v>32</v>
      </c>
      <c r="J495" t="s">
        <v>50</v>
      </c>
      <c r="L495">
        <v>8</v>
      </c>
      <c r="M495" t="s">
        <v>17</v>
      </c>
      <c r="N495" s="2">
        <v>45791</v>
      </c>
      <c r="O495">
        <v>104</v>
      </c>
      <c r="P495">
        <v>106</v>
      </c>
      <c r="Q495">
        <v>21</v>
      </c>
      <c r="R495">
        <v>18</v>
      </c>
      <c r="S495">
        <v>45</v>
      </c>
      <c r="T495">
        <f t="shared" si="71"/>
        <v>255</v>
      </c>
      <c r="U495" t="s">
        <v>50</v>
      </c>
    </row>
    <row r="496" spans="1:21">
      <c r="A496">
        <v>9</v>
      </c>
      <c r="B496" t="s">
        <v>18</v>
      </c>
      <c r="C496" s="2">
        <v>45790</v>
      </c>
      <c r="D496">
        <v>34</v>
      </c>
      <c r="E496">
        <v>13</v>
      </c>
      <c r="H496">
        <v>10</v>
      </c>
      <c r="I496">
        <f t="shared" si="70"/>
        <v>57</v>
      </c>
      <c r="J496" t="s">
        <v>56</v>
      </c>
      <c r="L496">
        <v>9</v>
      </c>
      <c r="M496" t="s">
        <v>18</v>
      </c>
      <c r="N496" s="2">
        <v>45791</v>
      </c>
      <c r="O496">
        <v>52</v>
      </c>
      <c r="P496">
        <v>8</v>
      </c>
      <c r="S496">
        <v>8</v>
      </c>
      <c r="T496">
        <f t="shared" si="71"/>
        <v>68</v>
      </c>
      <c r="U496" t="s">
        <v>56</v>
      </c>
    </row>
    <row r="497" spans="1:21">
      <c r="A497">
        <v>10</v>
      </c>
      <c r="B497" t="s">
        <v>19</v>
      </c>
      <c r="C497" s="2">
        <v>45790</v>
      </c>
      <c r="D497">
        <v>146</v>
      </c>
      <c r="E497">
        <v>79</v>
      </c>
      <c r="H497">
        <v>28</v>
      </c>
      <c r="I497">
        <f t="shared" si="70"/>
        <v>253</v>
      </c>
      <c r="J497" t="s">
        <v>53</v>
      </c>
      <c r="L497">
        <v>10</v>
      </c>
      <c r="M497" t="s">
        <v>19</v>
      </c>
      <c r="N497" s="2">
        <v>45791</v>
      </c>
      <c r="O497">
        <v>85</v>
      </c>
      <c r="P497">
        <v>132</v>
      </c>
      <c r="S497">
        <v>50</v>
      </c>
      <c r="T497">
        <f t="shared" si="71"/>
        <v>267</v>
      </c>
      <c r="U497" t="s">
        <v>53</v>
      </c>
    </row>
    <row r="498" spans="1:21">
      <c r="A498">
        <v>11</v>
      </c>
      <c r="B498" t="s">
        <v>25</v>
      </c>
      <c r="C498" s="2">
        <v>45790</v>
      </c>
      <c r="D498">
        <v>12</v>
      </c>
      <c r="E498">
        <v>4</v>
      </c>
      <c r="H498">
        <v>0</v>
      </c>
      <c r="I498">
        <f t="shared" si="70"/>
        <v>16</v>
      </c>
      <c r="J498" t="s">
        <v>54</v>
      </c>
      <c r="L498">
        <v>11</v>
      </c>
      <c r="M498" t="s">
        <v>25</v>
      </c>
      <c r="N498" s="2">
        <v>45791</v>
      </c>
      <c r="O498">
        <v>15</v>
      </c>
      <c r="P498">
        <v>1</v>
      </c>
      <c r="S498">
        <v>0</v>
      </c>
      <c r="T498">
        <f t="shared" si="71"/>
        <v>16</v>
      </c>
      <c r="U498" t="s">
        <v>54</v>
      </c>
    </row>
    <row r="499" spans="1:21">
      <c r="A499">
        <v>12</v>
      </c>
      <c r="B499" t="s">
        <v>27</v>
      </c>
      <c r="C499" s="2">
        <v>45790</v>
      </c>
      <c r="D499">
        <v>169</v>
      </c>
      <c r="E499">
        <v>196</v>
      </c>
      <c r="F499">
        <v>21</v>
      </c>
      <c r="G499">
        <v>26</v>
      </c>
      <c r="H499">
        <v>47</v>
      </c>
      <c r="I499">
        <f t="shared" si="70"/>
        <v>412</v>
      </c>
      <c r="J499" t="s">
        <v>56</v>
      </c>
      <c r="L499">
        <v>12</v>
      </c>
      <c r="M499" t="s">
        <v>27</v>
      </c>
      <c r="N499" s="2">
        <v>45791</v>
      </c>
      <c r="O499">
        <v>192</v>
      </c>
      <c r="P499">
        <v>200</v>
      </c>
      <c r="Q499">
        <v>19</v>
      </c>
      <c r="R499">
        <v>25</v>
      </c>
      <c r="S499">
        <v>44</v>
      </c>
      <c r="T499">
        <f t="shared" si="71"/>
        <v>436</v>
      </c>
      <c r="U499" t="s">
        <v>56</v>
      </c>
    </row>
    <row r="500" spans="1:21">
      <c r="A500">
        <v>13</v>
      </c>
      <c r="B500" t="s">
        <v>20</v>
      </c>
      <c r="C500" s="2">
        <v>45790</v>
      </c>
      <c r="I500">
        <f t="shared" si="70"/>
        <v>0</v>
      </c>
      <c r="J500" t="s">
        <v>57</v>
      </c>
      <c r="L500">
        <v>13</v>
      </c>
      <c r="M500" t="s">
        <v>20</v>
      </c>
      <c r="N500" s="2">
        <v>45791</v>
      </c>
      <c r="T500">
        <f t="shared" si="71"/>
        <v>0</v>
      </c>
      <c r="U500" t="s">
        <v>57</v>
      </c>
    </row>
    <row r="501" spans="1:21">
      <c r="A501">
        <v>14</v>
      </c>
      <c r="B501" t="s">
        <v>32</v>
      </c>
      <c r="C501" s="2">
        <v>45790</v>
      </c>
      <c r="D501">
        <v>38</v>
      </c>
      <c r="E501">
        <v>31</v>
      </c>
      <c r="F501">
        <v>2</v>
      </c>
      <c r="G501">
        <v>0</v>
      </c>
      <c r="H501">
        <v>2</v>
      </c>
      <c r="I501">
        <f t="shared" si="70"/>
        <v>71</v>
      </c>
      <c r="J501" t="s">
        <v>50</v>
      </c>
      <c r="L501">
        <v>14</v>
      </c>
      <c r="M501" t="s">
        <v>32</v>
      </c>
      <c r="N501" s="2">
        <v>45791</v>
      </c>
      <c r="O501">
        <v>27</v>
      </c>
      <c r="P501">
        <v>24</v>
      </c>
      <c r="Q501">
        <v>2</v>
      </c>
      <c r="R501">
        <v>2</v>
      </c>
      <c r="S501">
        <v>4</v>
      </c>
      <c r="T501">
        <f t="shared" si="71"/>
        <v>55</v>
      </c>
      <c r="U501" t="s">
        <v>50</v>
      </c>
    </row>
    <row r="502" spans="1:21">
      <c r="A502">
        <v>15</v>
      </c>
      <c r="B502" t="s">
        <v>48</v>
      </c>
      <c r="C502" s="2">
        <v>45790</v>
      </c>
      <c r="I502">
        <f t="shared" si="70"/>
        <v>0</v>
      </c>
      <c r="J502" t="s">
        <v>59</v>
      </c>
      <c r="L502">
        <v>15</v>
      </c>
      <c r="M502" t="s">
        <v>48</v>
      </c>
      <c r="N502" s="2">
        <v>45791</v>
      </c>
      <c r="T502">
        <f t="shared" si="71"/>
        <v>0</v>
      </c>
      <c r="U502" t="s">
        <v>59</v>
      </c>
    </row>
    <row r="503" spans="1:21">
      <c r="A503">
        <v>16</v>
      </c>
      <c r="B503" t="s">
        <v>37</v>
      </c>
      <c r="C503" s="2">
        <v>45790</v>
      </c>
      <c r="D503">
        <v>14</v>
      </c>
      <c r="E503">
        <v>10</v>
      </c>
      <c r="F503">
        <v>0</v>
      </c>
      <c r="G503">
        <v>0</v>
      </c>
      <c r="H503">
        <v>0</v>
      </c>
      <c r="I503">
        <f t="shared" si="70"/>
        <v>24</v>
      </c>
      <c r="J503" t="s">
        <v>55</v>
      </c>
      <c r="L503">
        <v>16</v>
      </c>
      <c r="M503" t="s">
        <v>37</v>
      </c>
      <c r="N503" s="2">
        <v>45791</v>
      </c>
      <c r="T503">
        <f t="shared" si="71"/>
        <v>0</v>
      </c>
      <c r="U503" t="s">
        <v>55</v>
      </c>
    </row>
    <row r="504" spans="1:21">
      <c r="A504">
        <v>17</v>
      </c>
      <c r="B504" t="s">
        <v>49</v>
      </c>
      <c r="C504" s="2">
        <v>45790</v>
      </c>
      <c r="I504">
        <f t="shared" si="70"/>
        <v>0</v>
      </c>
      <c r="J504" t="s">
        <v>59</v>
      </c>
      <c r="L504">
        <v>17</v>
      </c>
      <c r="M504" t="s">
        <v>49</v>
      </c>
      <c r="N504" s="2">
        <v>45791</v>
      </c>
      <c r="T504">
        <f t="shared" si="71"/>
        <v>0</v>
      </c>
      <c r="U504" t="s">
        <v>59</v>
      </c>
    </row>
    <row r="505" spans="1:21">
      <c r="A505">
        <v>18</v>
      </c>
      <c r="B505" t="s">
        <v>21</v>
      </c>
      <c r="C505" s="2">
        <v>45790</v>
      </c>
      <c r="D505">
        <v>254</v>
      </c>
      <c r="E505">
        <v>298</v>
      </c>
      <c r="H505">
        <v>0</v>
      </c>
      <c r="I505">
        <f t="shared" si="70"/>
        <v>552</v>
      </c>
      <c r="J505" t="s">
        <v>59</v>
      </c>
      <c r="L505">
        <v>18</v>
      </c>
      <c r="M505" t="s">
        <v>21</v>
      </c>
      <c r="N505" s="2">
        <v>45791</v>
      </c>
      <c r="T505">
        <f t="shared" si="71"/>
        <v>0</v>
      </c>
      <c r="U505" t="s">
        <v>59</v>
      </c>
    </row>
    <row r="506" spans="1:21">
      <c r="A506">
        <v>19</v>
      </c>
      <c r="B506" t="s">
        <v>104</v>
      </c>
      <c r="C506" s="2">
        <v>45790</v>
      </c>
      <c r="I506">
        <f>D506+E506+H506</f>
        <v>0</v>
      </c>
      <c r="L506">
        <v>19</v>
      </c>
      <c r="M506" t="s">
        <v>104</v>
      </c>
      <c r="N506" s="2">
        <v>45791</v>
      </c>
      <c r="T506">
        <f>O506+P506+S506</f>
        <v>0</v>
      </c>
    </row>
    <row r="507" spans="1:21">
      <c r="A507">
        <v>20</v>
      </c>
      <c r="B507" t="s">
        <v>26</v>
      </c>
      <c r="C507" s="2">
        <v>45790</v>
      </c>
      <c r="I507">
        <f t="shared" ref="I507" si="72">D507+E507+H507</f>
        <v>0</v>
      </c>
      <c r="J507" t="s">
        <v>54</v>
      </c>
      <c r="L507">
        <v>20</v>
      </c>
      <c r="M507" t="s">
        <v>26</v>
      </c>
      <c r="N507" s="2">
        <v>45791</v>
      </c>
      <c r="T507">
        <f t="shared" ref="T507" si="73">O507+P507+S507</f>
        <v>0</v>
      </c>
      <c r="U507" t="s">
        <v>54</v>
      </c>
    </row>
    <row r="508" spans="1:21">
      <c r="B508" t="s">
        <v>8</v>
      </c>
      <c r="D508">
        <f>SUM(D488:D507)</f>
        <v>1183</v>
      </c>
      <c r="E508">
        <f>SUM(E488:E507)</f>
        <v>1234</v>
      </c>
      <c r="I508">
        <f>I488+I489+I490+I491+I492+I493+I494+I495+I496+I497+I498+I499+I500+I501+I502+I503+I504+I505+I506+I507</f>
        <v>2681</v>
      </c>
      <c r="M508" t="s">
        <v>8</v>
      </c>
      <c r="O508">
        <f>SUM(O488:O507)</f>
        <v>844</v>
      </c>
      <c r="P508">
        <f>SUM(P488:P507)</f>
        <v>950</v>
      </c>
      <c r="T508">
        <f>T488+T489+T490+T491+T492+T493+T494+T495+T496+T497+T498+T499+T500+T501+T502+T503+T504+T505+T506+T507</f>
        <v>2062</v>
      </c>
    </row>
    <row r="511" spans="1:21">
      <c r="B511" t="s">
        <v>38</v>
      </c>
      <c r="C511" t="s">
        <v>225</v>
      </c>
      <c r="M511" t="s">
        <v>38</v>
      </c>
      <c r="N511" t="s">
        <v>226</v>
      </c>
    </row>
    <row r="512" spans="1:21">
      <c r="A512" t="s">
        <v>0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8</v>
      </c>
      <c r="J512" t="s">
        <v>51</v>
      </c>
      <c r="L512" t="s">
        <v>0</v>
      </c>
      <c r="M512" t="s">
        <v>1</v>
      </c>
      <c r="N512" t="s">
        <v>2</v>
      </c>
      <c r="O512" t="s">
        <v>3</v>
      </c>
      <c r="P512" t="s">
        <v>4</v>
      </c>
      <c r="Q512" t="s">
        <v>5</v>
      </c>
      <c r="R512" t="s">
        <v>6</v>
      </c>
      <c r="S512" t="s">
        <v>7</v>
      </c>
      <c r="T512" t="s">
        <v>8</v>
      </c>
      <c r="U512" t="s">
        <v>51</v>
      </c>
    </row>
    <row r="513" spans="1:21">
      <c r="A513">
        <v>1</v>
      </c>
      <c r="B513" t="s">
        <v>9</v>
      </c>
      <c r="C513" s="2">
        <v>45792</v>
      </c>
      <c r="D513">
        <v>30</v>
      </c>
      <c r="E513">
        <v>23</v>
      </c>
      <c r="F513">
        <v>6</v>
      </c>
      <c r="G513">
        <v>3</v>
      </c>
      <c r="H513">
        <v>9</v>
      </c>
      <c r="I513">
        <f>D513+E513+H513</f>
        <v>62</v>
      </c>
      <c r="J513" t="s">
        <v>50</v>
      </c>
      <c r="L513">
        <v>1</v>
      </c>
      <c r="M513" t="s">
        <v>9</v>
      </c>
      <c r="N513" s="2">
        <v>45793</v>
      </c>
      <c r="O513">
        <v>31</v>
      </c>
      <c r="P513">
        <v>40</v>
      </c>
      <c r="Q513">
        <v>2</v>
      </c>
      <c r="R513">
        <v>5</v>
      </c>
      <c r="S513">
        <v>7</v>
      </c>
      <c r="T513">
        <f>O513+P513+S513</f>
        <v>78</v>
      </c>
      <c r="U513" t="s">
        <v>50</v>
      </c>
    </row>
    <row r="514" spans="1:21">
      <c r="A514">
        <v>2</v>
      </c>
      <c r="B514" t="s">
        <v>11</v>
      </c>
      <c r="C514" s="2">
        <v>45792</v>
      </c>
      <c r="D514">
        <v>18</v>
      </c>
      <c r="E514">
        <v>3</v>
      </c>
      <c r="F514">
        <v>0</v>
      </c>
      <c r="G514">
        <v>0</v>
      </c>
      <c r="H514">
        <v>0</v>
      </c>
      <c r="I514">
        <f>D514+E514+H514</f>
        <v>21</v>
      </c>
      <c r="J514" t="s">
        <v>52</v>
      </c>
      <c r="L514">
        <v>2</v>
      </c>
      <c r="M514" t="s">
        <v>11</v>
      </c>
      <c r="N514" s="2">
        <v>45793</v>
      </c>
      <c r="O514">
        <v>14</v>
      </c>
      <c r="P514">
        <v>7</v>
      </c>
      <c r="S514">
        <v>0</v>
      </c>
      <c r="T514">
        <f>O514+P514+S514</f>
        <v>21</v>
      </c>
      <c r="U514" t="s">
        <v>52</v>
      </c>
    </row>
    <row r="515" spans="1:21">
      <c r="A515">
        <v>3</v>
      </c>
      <c r="B515" t="s">
        <v>12</v>
      </c>
      <c r="C515" s="2">
        <v>45792</v>
      </c>
      <c r="I515">
        <f>SUM(D515,E515,H515)</f>
        <v>0</v>
      </c>
      <c r="J515" t="s">
        <v>53</v>
      </c>
      <c r="L515">
        <v>3</v>
      </c>
      <c r="M515" t="s">
        <v>12</v>
      </c>
      <c r="N515" s="2">
        <v>45793</v>
      </c>
      <c r="O515">
        <v>49</v>
      </c>
      <c r="P515">
        <v>22</v>
      </c>
      <c r="S515">
        <v>0</v>
      </c>
      <c r="T515">
        <f>SUM(O515,P515,S515)</f>
        <v>71</v>
      </c>
      <c r="U515" t="s">
        <v>53</v>
      </c>
    </row>
    <row r="516" spans="1:21">
      <c r="A516">
        <v>4</v>
      </c>
      <c r="B516" t="s">
        <v>13</v>
      </c>
      <c r="C516" s="2">
        <v>45792</v>
      </c>
      <c r="D516">
        <v>20</v>
      </c>
      <c r="E516">
        <v>5</v>
      </c>
      <c r="H516">
        <v>0</v>
      </c>
      <c r="I516">
        <f t="shared" ref="I516:I530" si="74">D516+E516+H516</f>
        <v>25</v>
      </c>
      <c r="J516" t="s">
        <v>52</v>
      </c>
      <c r="L516">
        <v>4</v>
      </c>
      <c r="M516" t="s">
        <v>13</v>
      </c>
      <c r="N516" s="2">
        <v>45793</v>
      </c>
      <c r="T516">
        <f t="shared" ref="T516:T530" si="75">O516+P516+S516</f>
        <v>0</v>
      </c>
      <c r="U516" t="s">
        <v>52</v>
      </c>
    </row>
    <row r="517" spans="1:21">
      <c r="A517">
        <v>5</v>
      </c>
      <c r="B517" t="s">
        <v>14</v>
      </c>
      <c r="C517" s="2">
        <v>45792</v>
      </c>
      <c r="D517">
        <v>180</v>
      </c>
      <c r="E517">
        <v>236</v>
      </c>
      <c r="H517">
        <v>137</v>
      </c>
      <c r="I517">
        <f t="shared" si="74"/>
        <v>553</v>
      </c>
      <c r="J517" t="s">
        <v>54</v>
      </c>
      <c r="L517">
        <v>5</v>
      </c>
      <c r="M517" t="s">
        <v>14</v>
      </c>
      <c r="N517" s="2">
        <v>45793</v>
      </c>
      <c r="T517">
        <f t="shared" si="75"/>
        <v>0</v>
      </c>
      <c r="U517" t="s">
        <v>54</v>
      </c>
    </row>
    <row r="518" spans="1:21">
      <c r="A518">
        <v>6</v>
      </c>
      <c r="B518" t="s">
        <v>15</v>
      </c>
      <c r="C518" s="2">
        <v>45792</v>
      </c>
      <c r="D518">
        <v>115</v>
      </c>
      <c r="E518">
        <v>71</v>
      </c>
      <c r="H518">
        <v>0</v>
      </c>
      <c r="I518">
        <f t="shared" si="74"/>
        <v>186</v>
      </c>
      <c r="J518" t="s">
        <v>55</v>
      </c>
      <c r="L518">
        <v>6</v>
      </c>
      <c r="M518" t="s">
        <v>15</v>
      </c>
      <c r="N518" s="2">
        <v>45793</v>
      </c>
      <c r="T518">
        <f t="shared" si="75"/>
        <v>0</v>
      </c>
      <c r="U518" t="s">
        <v>55</v>
      </c>
    </row>
    <row r="519" spans="1:21">
      <c r="A519">
        <v>7</v>
      </c>
      <c r="B519" t="s">
        <v>16</v>
      </c>
      <c r="C519" s="2">
        <v>45792</v>
      </c>
      <c r="D519">
        <v>57</v>
      </c>
      <c r="E519">
        <v>71</v>
      </c>
      <c r="H519">
        <v>0</v>
      </c>
      <c r="I519">
        <f t="shared" si="74"/>
        <v>128</v>
      </c>
      <c r="J519" t="s">
        <v>52</v>
      </c>
      <c r="L519">
        <v>7</v>
      </c>
      <c r="M519" t="s">
        <v>16</v>
      </c>
      <c r="N519" s="2">
        <v>45793</v>
      </c>
      <c r="O519">
        <v>79</v>
      </c>
      <c r="P519">
        <v>44</v>
      </c>
      <c r="S519">
        <v>0</v>
      </c>
      <c r="T519">
        <f t="shared" si="75"/>
        <v>123</v>
      </c>
      <c r="U519" t="s">
        <v>52</v>
      </c>
    </row>
    <row r="520" spans="1:21">
      <c r="A520">
        <v>8</v>
      </c>
      <c r="B520" t="s">
        <v>17</v>
      </c>
      <c r="C520" s="2">
        <v>45792</v>
      </c>
      <c r="I520">
        <f t="shared" si="74"/>
        <v>0</v>
      </c>
      <c r="J520" t="s">
        <v>50</v>
      </c>
      <c r="L520">
        <v>8</v>
      </c>
      <c r="M520" t="s">
        <v>17</v>
      </c>
      <c r="N520" s="2">
        <v>45793</v>
      </c>
      <c r="O520">
        <v>10</v>
      </c>
      <c r="P520">
        <v>10</v>
      </c>
      <c r="S520">
        <v>3</v>
      </c>
      <c r="T520">
        <f t="shared" si="75"/>
        <v>23</v>
      </c>
      <c r="U520" t="s">
        <v>50</v>
      </c>
    </row>
    <row r="521" spans="1:21">
      <c r="A521">
        <v>9</v>
      </c>
      <c r="B521" t="s">
        <v>18</v>
      </c>
      <c r="C521" s="2">
        <v>45792</v>
      </c>
      <c r="D521">
        <v>47</v>
      </c>
      <c r="E521">
        <v>13</v>
      </c>
      <c r="H521">
        <v>9</v>
      </c>
      <c r="I521">
        <f t="shared" si="74"/>
        <v>69</v>
      </c>
      <c r="J521" t="s">
        <v>56</v>
      </c>
      <c r="L521">
        <v>9</v>
      </c>
      <c r="M521" t="s">
        <v>18</v>
      </c>
      <c r="N521" s="2">
        <v>45793</v>
      </c>
      <c r="O521">
        <v>64</v>
      </c>
      <c r="P521">
        <v>17</v>
      </c>
      <c r="S521">
        <v>12</v>
      </c>
      <c r="T521">
        <f t="shared" si="75"/>
        <v>93</v>
      </c>
      <c r="U521" t="s">
        <v>56</v>
      </c>
    </row>
    <row r="522" spans="1:21">
      <c r="A522">
        <v>10</v>
      </c>
      <c r="B522" t="s">
        <v>19</v>
      </c>
      <c r="C522" s="2">
        <v>45792</v>
      </c>
      <c r="D522">
        <v>135</v>
      </c>
      <c r="E522">
        <v>94</v>
      </c>
      <c r="H522">
        <v>46</v>
      </c>
      <c r="I522">
        <f t="shared" si="74"/>
        <v>275</v>
      </c>
      <c r="J522" t="s">
        <v>53</v>
      </c>
      <c r="L522">
        <v>10</v>
      </c>
      <c r="M522" t="s">
        <v>19</v>
      </c>
      <c r="N522" s="2">
        <v>45793</v>
      </c>
      <c r="O522">
        <v>103</v>
      </c>
      <c r="P522">
        <v>66</v>
      </c>
      <c r="S522">
        <v>31</v>
      </c>
      <c r="T522">
        <f t="shared" si="75"/>
        <v>200</v>
      </c>
      <c r="U522" t="s">
        <v>53</v>
      </c>
    </row>
    <row r="523" spans="1:21">
      <c r="A523">
        <v>11</v>
      </c>
      <c r="B523" t="s">
        <v>25</v>
      </c>
      <c r="C523" s="2">
        <v>45792</v>
      </c>
      <c r="D523">
        <v>8</v>
      </c>
      <c r="E523">
        <v>2</v>
      </c>
      <c r="F523">
        <v>0</v>
      </c>
      <c r="G523">
        <v>1</v>
      </c>
      <c r="H523">
        <v>1</v>
      </c>
      <c r="I523">
        <f t="shared" si="74"/>
        <v>11</v>
      </c>
      <c r="J523" t="s">
        <v>54</v>
      </c>
      <c r="L523">
        <v>11</v>
      </c>
      <c r="M523" t="s">
        <v>25</v>
      </c>
      <c r="N523" s="2">
        <v>45793</v>
      </c>
      <c r="O523">
        <v>11</v>
      </c>
      <c r="P523">
        <v>3</v>
      </c>
      <c r="Q523">
        <v>1</v>
      </c>
      <c r="R523">
        <v>0</v>
      </c>
      <c r="S523">
        <v>1</v>
      </c>
      <c r="T523">
        <f t="shared" si="75"/>
        <v>15</v>
      </c>
      <c r="U523" t="s">
        <v>54</v>
      </c>
    </row>
    <row r="524" spans="1:21">
      <c r="A524">
        <v>12</v>
      </c>
      <c r="B524" t="s">
        <v>27</v>
      </c>
      <c r="C524" s="2">
        <v>45792</v>
      </c>
      <c r="D524">
        <v>161</v>
      </c>
      <c r="E524">
        <v>182</v>
      </c>
      <c r="F524">
        <v>23</v>
      </c>
      <c r="G524">
        <v>30</v>
      </c>
      <c r="H524">
        <v>53</v>
      </c>
      <c r="I524">
        <f t="shared" si="74"/>
        <v>396</v>
      </c>
      <c r="J524" t="s">
        <v>56</v>
      </c>
      <c r="L524">
        <v>12</v>
      </c>
      <c r="M524" t="s">
        <v>27</v>
      </c>
      <c r="N524" s="2">
        <v>45793</v>
      </c>
      <c r="T524">
        <f t="shared" si="75"/>
        <v>0</v>
      </c>
      <c r="U524" t="s">
        <v>56</v>
      </c>
    </row>
    <row r="525" spans="1:21">
      <c r="A525">
        <v>13</v>
      </c>
      <c r="B525" t="s">
        <v>20</v>
      </c>
      <c r="C525" s="2">
        <v>45792</v>
      </c>
      <c r="D525">
        <v>101</v>
      </c>
      <c r="E525">
        <v>112</v>
      </c>
      <c r="F525">
        <v>5</v>
      </c>
      <c r="G525">
        <v>4</v>
      </c>
      <c r="H525">
        <v>9</v>
      </c>
      <c r="I525">
        <f t="shared" si="74"/>
        <v>222</v>
      </c>
      <c r="J525" t="s">
        <v>57</v>
      </c>
      <c r="L525">
        <v>13</v>
      </c>
      <c r="M525" t="s">
        <v>20</v>
      </c>
      <c r="N525" s="2">
        <v>45793</v>
      </c>
      <c r="O525">
        <v>10</v>
      </c>
      <c r="P525">
        <v>3</v>
      </c>
      <c r="S525">
        <v>0</v>
      </c>
      <c r="T525">
        <f t="shared" si="75"/>
        <v>13</v>
      </c>
      <c r="U525" t="s">
        <v>57</v>
      </c>
    </row>
    <row r="526" spans="1:21">
      <c r="A526">
        <v>14</v>
      </c>
      <c r="B526" t="s">
        <v>32</v>
      </c>
      <c r="C526" s="2">
        <v>45792</v>
      </c>
      <c r="D526">
        <v>38</v>
      </c>
      <c r="E526">
        <v>98</v>
      </c>
      <c r="F526">
        <v>4</v>
      </c>
      <c r="G526">
        <v>1</v>
      </c>
      <c r="H526">
        <v>5</v>
      </c>
      <c r="I526">
        <f t="shared" si="74"/>
        <v>141</v>
      </c>
      <c r="J526" t="s">
        <v>50</v>
      </c>
      <c r="L526">
        <v>14</v>
      </c>
      <c r="M526" t="s">
        <v>32</v>
      </c>
      <c r="N526" s="2">
        <v>45793</v>
      </c>
      <c r="T526">
        <f t="shared" si="75"/>
        <v>0</v>
      </c>
      <c r="U526" t="s">
        <v>50</v>
      </c>
    </row>
    <row r="527" spans="1:21">
      <c r="A527">
        <v>15</v>
      </c>
      <c r="B527" t="s">
        <v>48</v>
      </c>
      <c r="C527" s="2">
        <v>45792</v>
      </c>
      <c r="I527">
        <f t="shared" si="74"/>
        <v>0</v>
      </c>
      <c r="J527" t="s">
        <v>59</v>
      </c>
      <c r="L527">
        <v>15</v>
      </c>
      <c r="M527" t="s">
        <v>48</v>
      </c>
      <c r="N527" s="2">
        <v>45793</v>
      </c>
      <c r="T527">
        <f t="shared" si="75"/>
        <v>0</v>
      </c>
      <c r="U527" t="s">
        <v>59</v>
      </c>
    </row>
    <row r="528" spans="1:21">
      <c r="A528">
        <v>16</v>
      </c>
      <c r="B528" t="s">
        <v>37</v>
      </c>
      <c r="C528" s="2">
        <v>45792</v>
      </c>
      <c r="I528">
        <f t="shared" si="74"/>
        <v>0</v>
      </c>
      <c r="J528" t="s">
        <v>55</v>
      </c>
      <c r="L528">
        <v>16</v>
      </c>
      <c r="M528" t="s">
        <v>37</v>
      </c>
      <c r="N528" s="2">
        <v>45793</v>
      </c>
      <c r="T528">
        <f t="shared" si="75"/>
        <v>0</v>
      </c>
      <c r="U528" t="s">
        <v>55</v>
      </c>
    </row>
    <row r="529" spans="1:21">
      <c r="A529">
        <v>17</v>
      </c>
      <c r="B529" t="s">
        <v>49</v>
      </c>
      <c r="C529" s="2">
        <v>45792</v>
      </c>
      <c r="I529">
        <f t="shared" si="74"/>
        <v>0</v>
      </c>
      <c r="J529" t="s">
        <v>59</v>
      </c>
      <c r="L529">
        <v>17</v>
      </c>
      <c r="M529" t="s">
        <v>49</v>
      </c>
      <c r="N529" s="2">
        <v>45793</v>
      </c>
      <c r="T529">
        <f t="shared" si="75"/>
        <v>0</v>
      </c>
      <c r="U529" t="s">
        <v>59</v>
      </c>
    </row>
    <row r="530" spans="1:21">
      <c r="A530">
        <v>18</v>
      </c>
      <c r="B530" t="s">
        <v>21</v>
      </c>
      <c r="C530" s="2">
        <v>45792</v>
      </c>
      <c r="I530">
        <f t="shared" si="74"/>
        <v>0</v>
      </c>
      <c r="J530" t="s">
        <v>59</v>
      </c>
      <c r="L530">
        <v>18</v>
      </c>
      <c r="M530" t="s">
        <v>21</v>
      </c>
      <c r="N530" s="2">
        <v>45793</v>
      </c>
      <c r="T530">
        <f t="shared" si="75"/>
        <v>0</v>
      </c>
      <c r="U530" t="s">
        <v>59</v>
      </c>
    </row>
    <row r="531" spans="1:21">
      <c r="A531">
        <v>19</v>
      </c>
      <c r="B531" t="s">
        <v>104</v>
      </c>
      <c r="C531" s="2">
        <v>45792</v>
      </c>
      <c r="I531">
        <f>D531+E531+H531</f>
        <v>0</v>
      </c>
      <c r="L531">
        <v>19</v>
      </c>
      <c r="M531" t="s">
        <v>104</v>
      </c>
      <c r="N531" s="2">
        <v>45793</v>
      </c>
      <c r="T531">
        <f>O531+P531+S531</f>
        <v>0</v>
      </c>
    </row>
    <row r="532" spans="1:21">
      <c r="A532">
        <v>20</v>
      </c>
      <c r="B532" t="s">
        <v>26</v>
      </c>
      <c r="C532" s="2">
        <v>45792</v>
      </c>
      <c r="I532">
        <f t="shared" ref="I532" si="76">D532+E532+H532</f>
        <v>0</v>
      </c>
      <c r="J532" t="s">
        <v>54</v>
      </c>
      <c r="L532">
        <v>20</v>
      </c>
      <c r="M532" t="s">
        <v>26</v>
      </c>
      <c r="N532" s="2">
        <v>45793</v>
      </c>
      <c r="T532">
        <f t="shared" ref="T532" si="77">O532+P532+S532</f>
        <v>0</v>
      </c>
      <c r="U532" t="s">
        <v>54</v>
      </c>
    </row>
    <row r="533" spans="1:21">
      <c r="B533" t="s">
        <v>8</v>
      </c>
      <c r="D533">
        <f>SUM(D513:D532)</f>
        <v>910</v>
      </c>
      <c r="E533">
        <f>SUM(E513:E532)</f>
        <v>910</v>
      </c>
      <c r="I533">
        <f>I513+I514+I515+I516+I517+I518+I519+I520+I521+I522+I523+I524+I525+I526+I527+I528+I529+I530+I531+I532</f>
        <v>2089</v>
      </c>
      <c r="M533" t="s">
        <v>8</v>
      </c>
      <c r="O533">
        <f>SUM(O513:O532)</f>
        <v>371</v>
      </c>
      <c r="P533">
        <f>SUM(P513:P532)</f>
        <v>212</v>
      </c>
      <c r="T533">
        <f>T513+T514+T515+T516+T517+T518+T519+T520+T521+T522+T523+T524+T525+T526+T527+T528+T529+T530+T531+T532</f>
        <v>637</v>
      </c>
    </row>
    <row r="536" spans="1:21">
      <c r="B536" t="s">
        <v>38</v>
      </c>
      <c r="C536" t="s">
        <v>227</v>
      </c>
      <c r="M536" t="s">
        <v>38</v>
      </c>
      <c r="N536" t="s">
        <v>228</v>
      </c>
    </row>
    <row r="537" spans="1:21">
      <c r="A537" t="s">
        <v>0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t="s">
        <v>7</v>
      </c>
      <c r="I537" t="s">
        <v>8</v>
      </c>
      <c r="J537" t="s">
        <v>51</v>
      </c>
      <c r="L537" t="s">
        <v>0</v>
      </c>
      <c r="M537" t="s">
        <v>1</v>
      </c>
      <c r="N537" t="s">
        <v>2</v>
      </c>
      <c r="O537" t="s">
        <v>3</v>
      </c>
      <c r="P537" t="s">
        <v>4</v>
      </c>
      <c r="Q537" t="s">
        <v>5</v>
      </c>
      <c r="R537" t="s">
        <v>6</v>
      </c>
      <c r="S537" t="s">
        <v>7</v>
      </c>
      <c r="T537" t="s">
        <v>8</v>
      </c>
      <c r="U537" t="s">
        <v>51</v>
      </c>
    </row>
    <row r="538" spans="1:21">
      <c r="A538">
        <v>1</v>
      </c>
      <c r="B538" t="s">
        <v>9</v>
      </c>
      <c r="C538" s="2">
        <v>45794</v>
      </c>
      <c r="D538">
        <v>28</v>
      </c>
      <c r="E538">
        <v>26</v>
      </c>
      <c r="F538">
        <v>8</v>
      </c>
      <c r="G538">
        <v>6</v>
      </c>
      <c r="H538">
        <v>14</v>
      </c>
      <c r="I538">
        <f>D538+E538+H538</f>
        <v>68</v>
      </c>
      <c r="J538" t="s">
        <v>50</v>
      </c>
      <c r="L538">
        <v>1</v>
      </c>
      <c r="M538" t="s">
        <v>9</v>
      </c>
      <c r="N538" s="2">
        <v>45795</v>
      </c>
      <c r="O538">
        <v>18</v>
      </c>
      <c r="P538">
        <v>15</v>
      </c>
      <c r="Q538">
        <v>2</v>
      </c>
      <c r="R538">
        <v>2</v>
      </c>
      <c r="S538">
        <v>4</v>
      </c>
      <c r="T538">
        <f>O538+P538+S538</f>
        <v>37</v>
      </c>
      <c r="U538" t="s">
        <v>50</v>
      </c>
    </row>
    <row r="539" spans="1:21">
      <c r="A539">
        <v>2</v>
      </c>
      <c r="B539" t="s">
        <v>11</v>
      </c>
      <c r="C539" s="2">
        <v>45794</v>
      </c>
      <c r="D539">
        <v>18</v>
      </c>
      <c r="E539">
        <v>3</v>
      </c>
      <c r="H539">
        <v>0</v>
      </c>
      <c r="I539">
        <f>D539+E539+H539</f>
        <v>21</v>
      </c>
      <c r="J539" t="s">
        <v>52</v>
      </c>
      <c r="L539">
        <v>2</v>
      </c>
      <c r="M539" t="s">
        <v>11</v>
      </c>
      <c r="N539" s="2">
        <v>45795</v>
      </c>
      <c r="O539">
        <v>18</v>
      </c>
      <c r="P539">
        <v>5</v>
      </c>
      <c r="S539">
        <v>0</v>
      </c>
      <c r="T539">
        <f>O539+P539+S539</f>
        <v>23</v>
      </c>
      <c r="U539" t="s">
        <v>52</v>
      </c>
    </row>
    <row r="540" spans="1:21">
      <c r="A540">
        <v>3</v>
      </c>
      <c r="B540" t="s">
        <v>12</v>
      </c>
      <c r="C540" s="2">
        <v>45794</v>
      </c>
      <c r="D540">
        <v>50</v>
      </c>
      <c r="E540">
        <v>42</v>
      </c>
      <c r="H540">
        <v>0</v>
      </c>
      <c r="I540">
        <f>SUM(D540,E540,H540)</f>
        <v>92</v>
      </c>
      <c r="J540" t="s">
        <v>53</v>
      </c>
      <c r="L540">
        <v>3</v>
      </c>
      <c r="M540" t="s">
        <v>12</v>
      </c>
      <c r="N540" s="2">
        <v>45795</v>
      </c>
      <c r="O540">
        <v>42</v>
      </c>
      <c r="P540">
        <v>42</v>
      </c>
      <c r="S540">
        <v>0</v>
      </c>
      <c r="T540">
        <f>SUM(O540,P540,S540)</f>
        <v>84</v>
      </c>
      <c r="U540" t="s">
        <v>53</v>
      </c>
    </row>
    <row r="541" spans="1:21">
      <c r="A541">
        <v>4</v>
      </c>
      <c r="B541" t="s">
        <v>13</v>
      </c>
      <c r="C541" s="2">
        <v>45794</v>
      </c>
      <c r="D541">
        <v>37</v>
      </c>
      <c r="E541">
        <v>14</v>
      </c>
      <c r="H541">
        <v>140</v>
      </c>
      <c r="I541">
        <f t="shared" ref="I541:I555" si="78">D541+E541+H541</f>
        <v>191</v>
      </c>
      <c r="J541" t="s">
        <v>52</v>
      </c>
      <c r="L541">
        <v>4</v>
      </c>
      <c r="M541" t="s">
        <v>13</v>
      </c>
      <c r="N541" s="2">
        <v>45795</v>
      </c>
      <c r="O541">
        <v>16</v>
      </c>
      <c r="P541">
        <v>3</v>
      </c>
      <c r="S541">
        <v>1</v>
      </c>
      <c r="T541">
        <f t="shared" ref="T541:T555" si="79">O541+P541+S541</f>
        <v>20</v>
      </c>
      <c r="U541" t="s">
        <v>52</v>
      </c>
    </row>
    <row r="542" spans="1:21">
      <c r="A542">
        <v>5</v>
      </c>
      <c r="B542" t="s">
        <v>14</v>
      </c>
      <c r="C542" s="2">
        <v>45794</v>
      </c>
      <c r="D542">
        <v>312</v>
      </c>
      <c r="E542">
        <v>235</v>
      </c>
      <c r="H542">
        <v>115</v>
      </c>
      <c r="I542">
        <f t="shared" si="78"/>
        <v>662</v>
      </c>
      <c r="J542" t="s">
        <v>54</v>
      </c>
      <c r="L542">
        <v>5</v>
      </c>
      <c r="M542" t="s">
        <v>14</v>
      </c>
      <c r="N542" s="2">
        <v>45795</v>
      </c>
      <c r="O542">
        <v>43</v>
      </c>
      <c r="P542">
        <v>78</v>
      </c>
      <c r="S542">
        <v>22</v>
      </c>
      <c r="T542">
        <f t="shared" si="79"/>
        <v>143</v>
      </c>
      <c r="U542" t="s">
        <v>54</v>
      </c>
    </row>
    <row r="543" spans="1:21">
      <c r="A543">
        <v>6</v>
      </c>
      <c r="B543" t="s">
        <v>15</v>
      </c>
      <c r="C543" s="2">
        <v>45794</v>
      </c>
      <c r="D543">
        <v>127</v>
      </c>
      <c r="E543">
        <v>84</v>
      </c>
      <c r="H543">
        <v>0</v>
      </c>
      <c r="I543">
        <f t="shared" si="78"/>
        <v>211</v>
      </c>
      <c r="J543" t="s">
        <v>55</v>
      </c>
      <c r="L543">
        <v>6</v>
      </c>
      <c r="M543" t="s">
        <v>15</v>
      </c>
      <c r="N543" s="2">
        <v>45795</v>
      </c>
      <c r="T543">
        <f t="shared" si="79"/>
        <v>0</v>
      </c>
      <c r="U543" t="s">
        <v>55</v>
      </c>
    </row>
    <row r="544" spans="1:21">
      <c r="A544">
        <v>7</v>
      </c>
      <c r="B544" t="s">
        <v>16</v>
      </c>
      <c r="C544" s="2">
        <v>45794</v>
      </c>
      <c r="D544">
        <v>40</v>
      </c>
      <c r="E544">
        <v>40</v>
      </c>
      <c r="H544">
        <v>0</v>
      </c>
      <c r="I544">
        <f t="shared" si="78"/>
        <v>80</v>
      </c>
      <c r="J544" t="s">
        <v>52</v>
      </c>
      <c r="L544">
        <v>7</v>
      </c>
      <c r="M544" t="s">
        <v>16</v>
      </c>
      <c r="N544" s="2">
        <v>45795</v>
      </c>
      <c r="O544">
        <v>65</v>
      </c>
      <c r="P544">
        <v>68</v>
      </c>
      <c r="T544">
        <f t="shared" si="79"/>
        <v>133</v>
      </c>
      <c r="U544" t="s">
        <v>52</v>
      </c>
    </row>
    <row r="545" spans="1:21">
      <c r="A545">
        <v>8</v>
      </c>
      <c r="B545" t="s">
        <v>17</v>
      </c>
      <c r="C545" s="2">
        <v>45794</v>
      </c>
      <c r="D545">
        <v>8</v>
      </c>
      <c r="E545">
        <v>13</v>
      </c>
      <c r="H545">
        <v>3</v>
      </c>
      <c r="I545">
        <f t="shared" si="78"/>
        <v>24</v>
      </c>
      <c r="J545" t="s">
        <v>50</v>
      </c>
      <c r="L545">
        <v>8</v>
      </c>
      <c r="M545" t="s">
        <v>17</v>
      </c>
      <c r="N545" s="2">
        <v>45795</v>
      </c>
      <c r="O545">
        <v>31</v>
      </c>
      <c r="P545">
        <v>13</v>
      </c>
      <c r="Q545">
        <v>1</v>
      </c>
      <c r="R545">
        <v>3</v>
      </c>
      <c r="S545">
        <v>4</v>
      </c>
      <c r="T545">
        <f t="shared" si="79"/>
        <v>48</v>
      </c>
      <c r="U545" t="s">
        <v>50</v>
      </c>
    </row>
    <row r="546" spans="1:21">
      <c r="A546">
        <v>9</v>
      </c>
      <c r="B546" t="s">
        <v>18</v>
      </c>
      <c r="C546" s="2">
        <v>45794</v>
      </c>
      <c r="D546">
        <v>49</v>
      </c>
      <c r="E546">
        <v>11</v>
      </c>
      <c r="H546">
        <v>8</v>
      </c>
      <c r="I546">
        <f t="shared" si="78"/>
        <v>68</v>
      </c>
      <c r="J546" t="s">
        <v>56</v>
      </c>
      <c r="L546">
        <v>9</v>
      </c>
      <c r="M546" t="s">
        <v>18</v>
      </c>
      <c r="N546" s="2">
        <v>45795</v>
      </c>
      <c r="O546">
        <v>63</v>
      </c>
      <c r="P546">
        <v>14</v>
      </c>
      <c r="S546">
        <v>9</v>
      </c>
      <c r="T546">
        <f t="shared" si="79"/>
        <v>86</v>
      </c>
      <c r="U546" t="s">
        <v>56</v>
      </c>
    </row>
    <row r="547" spans="1:21">
      <c r="A547">
        <v>10</v>
      </c>
      <c r="B547" t="s">
        <v>19</v>
      </c>
      <c r="C547" s="2">
        <v>45794</v>
      </c>
      <c r="D547">
        <v>143</v>
      </c>
      <c r="E547">
        <v>98</v>
      </c>
      <c r="H547">
        <v>43</v>
      </c>
      <c r="I547">
        <f t="shared" si="78"/>
        <v>284</v>
      </c>
      <c r="J547" t="s">
        <v>53</v>
      </c>
      <c r="L547">
        <v>10</v>
      </c>
      <c r="M547" t="s">
        <v>19</v>
      </c>
      <c r="N547" s="2">
        <v>45795</v>
      </c>
      <c r="O547">
        <v>97</v>
      </c>
      <c r="P547">
        <v>70</v>
      </c>
      <c r="S547">
        <v>45</v>
      </c>
      <c r="T547">
        <f t="shared" si="79"/>
        <v>212</v>
      </c>
      <c r="U547" t="s">
        <v>53</v>
      </c>
    </row>
    <row r="548" spans="1:21">
      <c r="A548">
        <v>11</v>
      </c>
      <c r="B548" t="s">
        <v>25</v>
      </c>
      <c r="C548" s="2">
        <v>45794</v>
      </c>
      <c r="D548">
        <v>3</v>
      </c>
      <c r="E548">
        <v>2</v>
      </c>
      <c r="F548">
        <v>1</v>
      </c>
      <c r="G548">
        <v>0</v>
      </c>
      <c r="H548">
        <v>1</v>
      </c>
      <c r="I548">
        <f t="shared" si="78"/>
        <v>6</v>
      </c>
      <c r="J548" t="s">
        <v>54</v>
      </c>
      <c r="L548">
        <v>11</v>
      </c>
      <c r="M548" t="s">
        <v>25</v>
      </c>
      <c r="N548" s="2">
        <v>45795</v>
      </c>
      <c r="O548">
        <v>8</v>
      </c>
      <c r="P548">
        <v>0</v>
      </c>
      <c r="S548">
        <v>0</v>
      </c>
      <c r="T548">
        <f t="shared" si="79"/>
        <v>8</v>
      </c>
      <c r="U548" t="s">
        <v>54</v>
      </c>
    </row>
    <row r="549" spans="1:21">
      <c r="A549">
        <v>12</v>
      </c>
      <c r="B549" t="s">
        <v>27</v>
      </c>
      <c r="C549" s="2">
        <v>45794</v>
      </c>
      <c r="I549">
        <f t="shared" si="78"/>
        <v>0</v>
      </c>
      <c r="J549" t="s">
        <v>56</v>
      </c>
      <c r="L549">
        <v>12</v>
      </c>
      <c r="M549" t="s">
        <v>27</v>
      </c>
      <c r="N549" s="2">
        <v>45795</v>
      </c>
      <c r="O549">
        <v>135</v>
      </c>
      <c r="P549">
        <v>214</v>
      </c>
      <c r="Q549">
        <v>18</v>
      </c>
      <c r="R549">
        <v>21</v>
      </c>
      <c r="S549">
        <v>39</v>
      </c>
      <c r="T549">
        <f t="shared" si="79"/>
        <v>388</v>
      </c>
      <c r="U549" t="s">
        <v>56</v>
      </c>
    </row>
    <row r="550" spans="1:21">
      <c r="A550">
        <v>13</v>
      </c>
      <c r="B550" t="s">
        <v>20</v>
      </c>
      <c r="C550" s="2">
        <v>45794</v>
      </c>
      <c r="I550">
        <f t="shared" si="78"/>
        <v>0</v>
      </c>
      <c r="J550" t="s">
        <v>57</v>
      </c>
      <c r="L550">
        <v>13</v>
      </c>
      <c r="M550" t="s">
        <v>20</v>
      </c>
      <c r="N550" s="2">
        <v>45795</v>
      </c>
      <c r="T550">
        <f t="shared" si="79"/>
        <v>0</v>
      </c>
      <c r="U550" t="s">
        <v>57</v>
      </c>
    </row>
    <row r="551" spans="1:21">
      <c r="A551">
        <v>14</v>
      </c>
      <c r="B551" t="s">
        <v>32</v>
      </c>
      <c r="C551" s="2">
        <v>45794</v>
      </c>
      <c r="I551">
        <f t="shared" si="78"/>
        <v>0</v>
      </c>
      <c r="J551" t="s">
        <v>50</v>
      </c>
      <c r="L551">
        <v>14</v>
      </c>
      <c r="M551" t="s">
        <v>32</v>
      </c>
      <c r="N551" s="2">
        <v>45795</v>
      </c>
      <c r="O551">
        <v>19</v>
      </c>
      <c r="P551">
        <v>7</v>
      </c>
      <c r="Q551">
        <v>1</v>
      </c>
      <c r="R551">
        <v>2</v>
      </c>
      <c r="S551">
        <v>3</v>
      </c>
      <c r="T551">
        <f t="shared" si="79"/>
        <v>29</v>
      </c>
      <c r="U551" t="s">
        <v>50</v>
      </c>
    </row>
    <row r="552" spans="1:21">
      <c r="A552">
        <v>15</v>
      </c>
      <c r="B552" t="s">
        <v>48</v>
      </c>
      <c r="C552" s="2">
        <v>45794</v>
      </c>
      <c r="I552">
        <f t="shared" si="78"/>
        <v>0</v>
      </c>
      <c r="J552" t="s">
        <v>59</v>
      </c>
      <c r="L552">
        <v>15</v>
      </c>
      <c r="M552" t="s">
        <v>48</v>
      </c>
      <c r="N552" s="2">
        <v>45795</v>
      </c>
      <c r="T552">
        <f t="shared" si="79"/>
        <v>0</v>
      </c>
      <c r="U552" t="s">
        <v>59</v>
      </c>
    </row>
    <row r="553" spans="1:21">
      <c r="A553">
        <v>16</v>
      </c>
      <c r="B553" t="s">
        <v>37</v>
      </c>
      <c r="C553" s="2">
        <v>45794</v>
      </c>
      <c r="I553">
        <f t="shared" si="78"/>
        <v>0</v>
      </c>
      <c r="J553" t="s">
        <v>55</v>
      </c>
      <c r="L553">
        <v>16</v>
      </c>
      <c r="M553" t="s">
        <v>37</v>
      </c>
      <c r="N553" s="2">
        <v>45795</v>
      </c>
      <c r="O553">
        <v>18</v>
      </c>
      <c r="P553">
        <v>15</v>
      </c>
      <c r="Q553">
        <v>1</v>
      </c>
      <c r="R553">
        <v>2</v>
      </c>
      <c r="S553">
        <v>3</v>
      </c>
      <c r="T553">
        <f t="shared" si="79"/>
        <v>36</v>
      </c>
      <c r="U553" t="s">
        <v>55</v>
      </c>
    </row>
    <row r="554" spans="1:21">
      <c r="A554">
        <v>17</v>
      </c>
      <c r="B554" t="s">
        <v>49</v>
      </c>
      <c r="C554" s="2">
        <v>45794</v>
      </c>
      <c r="I554">
        <f t="shared" si="78"/>
        <v>0</v>
      </c>
      <c r="J554" t="s">
        <v>59</v>
      </c>
      <c r="L554">
        <v>17</v>
      </c>
      <c r="M554" t="s">
        <v>49</v>
      </c>
      <c r="N554" s="2">
        <v>45795</v>
      </c>
      <c r="T554">
        <f t="shared" si="79"/>
        <v>0</v>
      </c>
      <c r="U554" t="s">
        <v>59</v>
      </c>
    </row>
    <row r="555" spans="1:21">
      <c r="A555">
        <v>18</v>
      </c>
      <c r="B555" t="s">
        <v>21</v>
      </c>
      <c r="C555" s="2">
        <v>45794</v>
      </c>
      <c r="I555">
        <f t="shared" si="78"/>
        <v>0</v>
      </c>
      <c r="J555" t="s">
        <v>59</v>
      </c>
      <c r="L555">
        <v>18</v>
      </c>
      <c r="M555" t="s">
        <v>21</v>
      </c>
      <c r="N555" s="2">
        <v>45795</v>
      </c>
      <c r="O555">
        <v>242</v>
      </c>
      <c r="P555">
        <v>260</v>
      </c>
      <c r="T555">
        <f t="shared" si="79"/>
        <v>502</v>
      </c>
      <c r="U555" t="s">
        <v>59</v>
      </c>
    </row>
    <row r="556" spans="1:21">
      <c r="A556">
        <v>19</v>
      </c>
      <c r="B556" t="s">
        <v>104</v>
      </c>
      <c r="C556" s="2">
        <v>45794</v>
      </c>
      <c r="I556">
        <f>D556+E556+H556</f>
        <v>0</v>
      </c>
      <c r="L556">
        <v>19</v>
      </c>
      <c r="M556" t="s">
        <v>104</v>
      </c>
      <c r="N556" s="2">
        <v>45795</v>
      </c>
      <c r="T556">
        <f>O556+P556+S556</f>
        <v>0</v>
      </c>
    </row>
    <row r="557" spans="1:21">
      <c r="A557">
        <v>20</v>
      </c>
      <c r="B557" t="s">
        <v>26</v>
      </c>
      <c r="C557" s="2">
        <v>45794</v>
      </c>
      <c r="I557">
        <f t="shared" ref="I557" si="80">D557+E557+H557</f>
        <v>0</v>
      </c>
      <c r="J557" t="s">
        <v>54</v>
      </c>
      <c r="L557">
        <v>20</v>
      </c>
      <c r="M557" t="s">
        <v>26</v>
      </c>
      <c r="N557" s="2">
        <v>45795</v>
      </c>
      <c r="T557">
        <f t="shared" ref="T557" si="81">O557+P557+S557</f>
        <v>0</v>
      </c>
      <c r="U557" t="s">
        <v>54</v>
      </c>
    </row>
    <row r="558" spans="1:21">
      <c r="B558" t="s">
        <v>8</v>
      </c>
      <c r="D558">
        <f>SUM(D538:D557)</f>
        <v>815</v>
      </c>
      <c r="E558">
        <f>SUM(E538:E557)</f>
        <v>568</v>
      </c>
      <c r="I558">
        <f>I538+I539+I540+I541+I542+I543+I544+I545+I546+I547+I548+I549+I550+I551+I552+I553+I554+I555+I556+I557</f>
        <v>1707</v>
      </c>
      <c r="M558" t="s">
        <v>8</v>
      </c>
      <c r="O558">
        <f>O538+O539+O540+O541+O542+O543+O545+O544+O546+O547+O548+O549+O550+O551+O553+O555</f>
        <v>815</v>
      </c>
      <c r="P558">
        <f>SUM(P538:P557)</f>
        <v>804</v>
      </c>
      <c r="T558">
        <f>T538+T539+T540+T541+T542+T543+T544+T545+T546+T547+T548+T549+T550+T551+T552+T553+T554+T555+T556+T557</f>
        <v>1749</v>
      </c>
    </row>
    <row r="561" spans="1:21">
      <c r="B561" t="s">
        <v>38</v>
      </c>
      <c r="C561" t="s">
        <v>229</v>
      </c>
      <c r="M561" t="s">
        <v>38</v>
      </c>
      <c r="N561" t="s">
        <v>230</v>
      </c>
    </row>
    <row r="562" spans="1:21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51</v>
      </c>
      <c r="L562" t="s">
        <v>0</v>
      </c>
      <c r="M562" t="s">
        <v>1</v>
      </c>
      <c r="N562" t="s">
        <v>2</v>
      </c>
      <c r="O562" t="s">
        <v>3</v>
      </c>
      <c r="P562" t="s">
        <v>4</v>
      </c>
      <c r="Q562" t="s">
        <v>5</v>
      </c>
      <c r="R562" t="s">
        <v>6</v>
      </c>
      <c r="S562" t="s">
        <v>7</v>
      </c>
      <c r="T562" t="s">
        <v>8</v>
      </c>
      <c r="U562" t="s">
        <v>51</v>
      </c>
    </row>
    <row r="563" spans="1:21">
      <c r="A563">
        <v>1</v>
      </c>
      <c r="B563" t="s">
        <v>9</v>
      </c>
      <c r="C563" s="2">
        <v>45796</v>
      </c>
      <c r="D563">
        <v>33</v>
      </c>
      <c r="E563">
        <v>29</v>
      </c>
      <c r="F563">
        <v>11</v>
      </c>
      <c r="G563">
        <v>10</v>
      </c>
      <c r="H563">
        <v>21</v>
      </c>
      <c r="I563">
        <f>D563+E563+H563</f>
        <v>83</v>
      </c>
      <c r="J563" t="s">
        <v>50</v>
      </c>
      <c r="L563">
        <v>1</v>
      </c>
      <c r="M563" t="s">
        <v>9</v>
      </c>
      <c r="N563" s="2">
        <v>45797</v>
      </c>
      <c r="O563">
        <v>37</v>
      </c>
      <c r="P563">
        <v>37</v>
      </c>
      <c r="Q563">
        <v>7</v>
      </c>
      <c r="R563">
        <v>10</v>
      </c>
      <c r="S563">
        <v>17</v>
      </c>
      <c r="T563">
        <f>O563+P563+S563</f>
        <v>91</v>
      </c>
      <c r="U563" t="s">
        <v>50</v>
      </c>
    </row>
    <row r="564" spans="1:21">
      <c r="A564">
        <v>2</v>
      </c>
      <c r="B564" t="s">
        <v>11</v>
      </c>
      <c r="C564" s="2">
        <v>45796</v>
      </c>
      <c r="D564">
        <v>16</v>
      </c>
      <c r="E564">
        <v>7</v>
      </c>
      <c r="H564">
        <v>0</v>
      </c>
      <c r="I564">
        <f>D564+E564+H564</f>
        <v>23</v>
      </c>
      <c r="J564" t="s">
        <v>52</v>
      </c>
      <c r="L564">
        <v>2</v>
      </c>
      <c r="M564" t="s">
        <v>11</v>
      </c>
      <c r="N564" s="2">
        <v>45797</v>
      </c>
      <c r="T564">
        <f>O564+P564+S564</f>
        <v>0</v>
      </c>
      <c r="U564" t="s">
        <v>52</v>
      </c>
    </row>
    <row r="565" spans="1:21">
      <c r="A565">
        <v>3</v>
      </c>
      <c r="B565" t="s">
        <v>12</v>
      </c>
      <c r="C565" s="2">
        <v>45796</v>
      </c>
      <c r="D565">
        <v>42</v>
      </c>
      <c r="E565">
        <v>49</v>
      </c>
      <c r="H565">
        <v>0</v>
      </c>
      <c r="I565">
        <f>SUM(D565,E565,H565)</f>
        <v>91</v>
      </c>
      <c r="J565" t="s">
        <v>53</v>
      </c>
      <c r="L565">
        <v>3</v>
      </c>
      <c r="M565" t="s">
        <v>12</v>
      </c>
      <c r="N565" s="2">
        <v>45797</v>
      </c>
      <c r="O565">
        <v>28</v>
      </c>
      <c r="P565">
        <v>33</v>
      </c>
      <c r="S565">
        <v>0</v>
      </c>
      <c r="T565">
        <f>SUM(O565,P565,S565)</f>
        <v>61</v>
      </c>
      <c r="U565" t="s">
        <v>53</v>
      </c>
    </row>
    <row r="566" spans="1:21">
      <c r="A566">
        <v>4</v>
      </c>
      <c r="B566" t="s">
        <v>13</v>
      </c>
      <c r="C566" s="2">
        <v>45796</v>
      </c>
      <c r="D566">
        <v>47</v>
      </c>
      <c r="E566">
        <v>23</v>
      </c>
      <c r="H566">
        <v>14</v>
      </c>
      <c r="I566">
        <f t="shared" ref="I566:I580" si="82">D566+E566+H566</f>
        <v>84</v>
      </c>
      <c r="J566" t="s">
        <v>52</v>
      </c>
      <c r="L566">
        <v>4</v>
      </c>
      <c r="M566" t="s">
        <v>13</v>
      </c>
      <c r="N566" s="2">
        <v>45797</v>
      </c>
      <c r="O566">
        <v>43</v>
      </c>
      <c r="P566">
        <v>35</v>
      </c>
      <c r="S566">
        <v>11</v>
      </c>
      <c r="T566">
        <f t="shared" ref="T566:T580" si="83">O566+P566+S566</f>
        <v>89</v>
      </c>
      <c r="U566" t="s">
        <v>52</v>
      </c>
    </row>
    <row r="567" spans="1:21">
      <c r="A567">
        <v>5</v>
      </c>
      <c r="B567" t="s">
        <v>14</v>
      </c>
      <c r="C567" s="2">
        <v>45796</v>
      </c>
      <c r="D567">
        <v>377</v>
      </c>
      <c r="E567">
        <v>842</v>
      </c>
      <c r="H567">
        <v>164</v>
      </c>
      <c r="I567">
        <f t="shared" si="82"/>
        <v>1383</v>
      </c>
      <c r="J567" t="s">
        <v>54</v>
      </c>
      <c r="L567">
        <v>5</v>
      </c>
      <c r="M567" t="s">
        <v>14</v>
      </c>
      <c r="N567" s="2">
        <v>45797</v>
      </c>
      <c r="O567">
        <v>193</v>
      </c>
      <c r="P567">
        <v>371</v>
      </c>
      <c r="S567">
        <v>105</v>
      </c>
      <c r="T567">
        <f t="shared" si="83"/>
        <v>669</v>
      </c>
      <c r="U567" t="s">
        <v>54</v>
      </c>
    </row>
    <row r="568" spans="1:21">
      <c r="A568">
        <v>6</v>
      </c>
      <c r="B568" t="s">
        <v>15</v>
      </c>
      <c r="C568" s="2">
        <v>45796</v>
      </c>
      <c r="D568">
        <v>87</v>
      </c>
      <c r="E568">
        <v>95</v>
      </c>
      <c r="H568">
        <v>0</v>
      </c>
      <c r="I568">
        <f t="shared" si="82"/>
        <v>182</v>
      </c>
      <c r="J568" t="s">
        <v>55</v>
      </c>
      <c r="L568">
        <v>6</v>
      </c>
      <c r="M568" t="s">
        <v>15</v>
      </c>
      <c r="N568" s="2">
        <v>45797</v>
      </c>
      <c r="O568">
        <v>71</v>
      </c>
      <c r="P568">
        <v>81</v>
      </c>
      <c r="S568">
        <v>0</v>
      </c>
      <c r="T568">
        <f t="shared" si="83"/>
        <v>152</v>
      </c>
      <c r="U568" t="s">
        <v>55</v>
      </c>
    </row>
    <row r="569" spans="1:21">
      <c r="A569">
        <v>7</v>
      </c>
      <c r="B569" t="s">
        <v>16</v>
      </c>
      <c r="C569" s="2">
        <v>45796</v>
      </c>
      <c r="I569">
        <f t="shared" si="82"/>
        <v>0</v>
      </c>
      <c r="J569" t="s">
        <v>52</v>
      </c>
      <c r="L569">
        <v>7</v>
      </c>
      <c r="M569" t="s">
        <v>16</v>
      </c>
      <c r="N569" s="2">
        <v>45797</v>
      </c>
      <c r="T569">
        <f t="shared" si="83"/>
        <v>0</v>
      </c>
      <c r="U569" t="s">
        <v>52</v>
      </c>
    </row>
    <row r="570" spans="1:21">
      <c r="A570">
        <v>8</v>
      </c>
      <c r="B570" t="s">
        <v>17</v>
      </c>
      <c r="C570" s="2">
        <v>45796</v>
      </c>
      <c r="D570">
        <v>45</v>
      </c>
      <c r="E570">
        <v>16</v>
      </c>
      <c r="F570">
        <v>5</v>
      </c>
      <c r="G570">
        <v>4</v>
      </c>
      <c r="H570">
        <v>9</v>
      </c>
      <c r="I570">
        <f t="shared" si="82"/>
        <v>70</v>
      </c>
      <c r="J570" t="s">
        <v>50</v>
      </c>
      <c r="L570">
        <v>8</v>
      </c>
      <c r="M570" t="s">
        <v>17</v>
      </c>
      <c r="N570" s="2">
        <v>45797</v>
      </c>
      <c r="O570">
        <v>38</v>
      </c>
      <c r="P570">
        <v>19</v>
      </c>
      <c r="Q570">
        <v>6</v>
      </c>
      <c r="R570">
        <v>3</v>
      </c>
      <c r="S570">
        <v>9</v>
      </c>
      <c r="T570">
        <f t="shared" si="83"/>
        <v>66</v>
      </c>
      <c r="U570" t="s">
        <v>50</v>
      </c>
    </row>
    <row r="571" spans="1:21">
      <c r="A571">
        <v>9</v>
      </c>
      <c r="B571" t="s">
        <v>18</v>
      </c>
      <c r="C571" s="2">
        <v>45796</v>
      </c>
      <c r="D571">
        <v>70</v>
      </c>
      <c r="E571">
        <v>11</v>
      </c>
      <c r="H571">
        <v>2</v>
      </c>
      <c r="I571">
        <f t="shared" si="82"/>
        <v>83</v>
      </c>
      <c r="J571" t="s">
        <v>56</v>
      </c>
      <c r="L571">
        <v>9</v>
      </c>
      <c r="M571" t="s">
        <v>18</v>
      </c>
      <c r="N571" s="2">
        <v>45797</v>
      </c>
      <c r="O571">
        <v>58</v>
      </c>
      <c r="P571">
        <v>25</v>
      </c>
      <c r="S571">
        <v>14</v>
      </c>
      <c r="T571">
        <f t="shared" si="83"/>
        <v>97</v>
      </c>
      <c r="U571" t="s">
        <v>56</v>
      </c>
    </row>
    <row r="572" spans="1:21">
      <c r="A572">
        <v>10</v>
      </c>
      <c r="B572" t="s">
        <v>19</v>
      </c>
      <c r="C572" s="2">
        <v>45796</v>
      </c>
      <c r="D572">
        <v>96</v>
      </c>
      <c r="E572">
        <v>144</v>
      </c>
      <c r="H572">
        <v>43</v>
      </c>
      <c r="I572">
        <f t="shared" si="82"/>
        <v>283</v>
      </c>
      <c r="J572" t="s">
        <v>53</v>
      </c>
      <c r="L572">
        <v>10</v>
      </c>
      <c r="M572" t="s">
        <v>19</v>
      </c>
      <c r="N572" s="2">
        <v>45797</v>
      </c>
      <c r="O572">
        <v>105</v>
      </c>
      <c r="P572">
        <v>144</v>
      </c>
      <c r="S572">
        <v>39</v>
      </c>
      <c r="T572">
        <f t="shared" si="83"/>
        <v>288</v>
      </c>
      <c r="U572" t="s">
        <v>53</v>
      </c>
    </row>
    <row r="573" spans="1:21">
      <c r="A573">
        <v>11</v>
      </c>
      <c r="B573" t="s">
        <v>25</v>
      </c>
      <c r="C573" s="2">
        <v>45796</v>
      </c>
      <c r="D573">
        <v>9</v>
      </c>
      <c r="E573">
        <v>4</v>
      </c>
      <c r="F573">
        <v>0</v>
      </c>
      <c r="G573">
        <v>0</v>
      </c>
      <c r="H573">
        <v>0</v>
      </c>
      <c r="I573">
        <f t="shared" si="82"/>
        <v>13</v>
      </c>
      <c r="J573" t="s">
        <v>54</v>
      </c>
      <c r="L573">
        <v>11</v>
      </c>
      <c r="M573" t="s">
        <v>25</v>
      </c>
      <c r="N573" s="2">
        <v>45797</v>
      </c>
      <c r="O573">
        <v>6</v>
      </c>
      <c r="P573">
        <v>4</v>
      </c>
      <c r="Q573">
        <v>0</v>
      </c>
      <c r="R573">
        <v>1</v>
      </c>
      <c r="S573">
        <v>1</v>
      </c>
      <c r="T573">
        <f t="shared" si="83"/>
        <v>11</v>
      </c>
      <c r="U573" t="s">
        <v>54</v>
      </c>
    </row>
    <row r="574" spans="1:21">
      <c r="A574">
        <v>12</v>
      </c>
      <c r="B574" t="s">
        <v>27</v>
      </c>
      <c r="C574" s="2">
        <v>45796</v>
      </c>
      <c r="I574">
        <f t="shared" si="82"/>
        <v>0</v>
      </c>
      <c r="J574" t="s">
        <v>56</v>
      </c>
      <c r="L574">
        <v>12</v>
      </c>
      <c r="M574" t="s">
        <v>27</v>
      </c>
      <c r="N574" s="2">
        <v>45797</v>
      </c>
      <c r="T574">
        <f t="shared" si="83"/>
        <v>0</v>
      </c>
      <c r="U574" t="s">
        <v>56</v>
      </c>
    </row>
    <row r="575" spans="1:21">
      <c r="A575">
        <v>13</v>
      </c>
      <c r="B575" t="s">
        <v>20</v>
      </c>
      <c r="C575" s="2">
        <v>45796</v>
      </c>
      <c r="D575">
        <v>133</v>
      </c>
      <c r="E575">
        <v>120</v>
      </c>
      <c r="F575">
        <v>7</v>
      </c>
      <c r="G575">
        <v>10</v>
      </c>
      <c r="H575">
        <v>17</v>
      </c>
      <c r="I575">
        <f t="shared" si="82"/>
        <v>270</v>
      </c>
      <c r="J575" t="s">
        <v>57</v>
      </c>
      <c r="L575">
        <v>13</v>
      </c>
      <c r="M575" t="s">
        <v>20</v>
      </c>
      <c r="N575" s="2">
        <v>45797</v>
      </c>
      <c r="O575">
        <v>135</v>
      </c>
      <c r="P575">
        <v>104</v>
      </c>
      <c r="Q575">
        <v>9</v>
      </c>
      <c r="R575">
        <v>11</v>
      </c>
      <c r="S575">
        <v>20</v>
      </c>
      <c r="T575">
        <f t="shared" si="83"/>
        <v>259</v>
      </c>
      <c r="U575" t="s">
        <v>57</v>
      </c>
    </row>
    <row r="576" spans="1:21">
      <c r="A576">
        <v>14</v>
      </c>
      <c r="B576" t="s">
        <v>32</v>
      </c>
      <c r="C576" s="2">
        <v>45796</v>
      </c>
      <c r="D576">
        <v>30</v>
      </c>
      <c r="E576">
        <v>100</v>
      </c>
      <c r="F576">
        <v>3</v>
      </c>
      <c r="G576">
        <v>5</v>
      </c>
      <c r="H576">
        <v>8</v>
      </c>
      <c r="I576">
        <f t="shared" si="82"/>
        <v>138</v>
      </c>
      <c r="J576" t="s">
        <v>50</v>
      </c>
      <c r="L576">
        <v>14</v>
      </c>
      <c r="M576" t="s">
        <v>32</v>
      </c>
      <c r="N576" s="2">
        <v>45797</v>
      </c>
      <c r="T576">
        <f t="shared" si="83"/>
        <v>0</v>
      </c>
      <c r="U576" t="s">
        <v>50</v>
      </c>
    </row>
    <row r="577" spans="1:21">
      <c r="A577">
        <v>15</v>
      </c>
      <c r="B577" t="s">
        <v>48</v>
      </c>
      <c r="C577" s="2">
        <v>45796</v>
      </c>
      <c r="I577">
        <f t="shared" si="82"/>
        <v>0</v>
      </c>
      <c r="J577" t="s">
        <v>59</v>
      </c>
      <c r="L577">
        <v>15</v>
      </c>
      <c r="M577" t="s">
        <v>48</v>
      </c>
      <c r="N577" s="2">
        <v>45797</v>
      </c>
      <c r="T577">
        <f t="shared" si="83"/>
        <v>0</v>
      </c>
      <c r="U577" t="s">
        <v>59</v>
      </c>
    </row>
    <row r="578" spans="1:21">
      <c r="A578">
        <v>16</v>
      </c>
      <c r="B578" t="s">
        <v>37</v>
      </c>
      <c r="C578" s="2">
        <v>45796</v>
      </c>
      <c r="I578">
        <f t="shared" si="82"/>
        <v>0</v>
      </c>
      <c r="J578" t="s">
        <v>55</v>
      </c>
      <c r="L578">
        <v>16</v>
      </c>
      <c r="M578" t="s">
        <v>37</v>
      </c>
      <c r="N578" s="2">
        <v>45797</v>
      </c>
      <c r="T578">
        <f t="shared" si="83"/>
        <v>0</v>
      </c>
      <c r="U578" t="s">
        <v>55</v>
      </c>
    </row>
    <row r="579" spans="1:21">
      <c r="A579">
        <v>17</v>
      </c>
      <c r="B579" t="s">
        <v>49</v>
      </c>
      <c r="C579" s="2">
        <v>45796</v>
      </c>
      <c r="I579">
        <f t="shared" si="82"/>
        <v>0</v>
      </c>
      <c r="J579" t="s">
        <v>59</v>
      </c>
      <c r="L579">
        <v>17</v>
      </c>
      <c r="M579" t="s">
        <v>49</v>
      </c>
      <c r="N579" s="2">
        <v>45797</v>
      </c>
      <c r="T579">
        <f t="shared" si="83"/>
        <v>0</v>
      </c>
      <c r="U579" t="s">
        <v>59</v>
      </c>
    </row>
    <row r="580" spans="1:21">
      <c r="A580">
        <v>18</v>
      </c>
      <c r="B580" t="s">
        <v>21</v>
      </c>
      <c r="C580" s="2">
        <v>45796</v>
      </c>
      <c r="D580">
        <v>412</v>
      </c>
      <c r="E580">
        <v>456</v>
      </c>
      <c r="H580">
        <v>0</v>
      </c>
      <c r="I580">
        <f t="shared" si="82"/>
        <v>868</v>
      </c>
      <c r="J580" t="s">
        <v>59</v>
      </c>
      <c r="L580">
        <v>18</v>
      </c>
      <c r="M580" t="s">
        <v>21</v>
      </c>
      <c r="N580" s="2">
        <v>45797</v>
      </c>
      <c r="O580">
        <v>343</v>
      </c>
      <c r="P580">
        <v>368</v>
      </c>
      <c r="S580">
        <v>0</v>
      </c>
      <c r="T580">
        <f t="shared" si="83"/>
        <v>711</v>
      </c>
      <c r="U580" t="s">
        <v>59</v>
      </c>
    </row>
    <row r="581" spans="1:21">
      <c r="A581">
        <v>19</v>
      </c>
      <c r="B581" t="s">
        <v>104</v>
      </c>
      <c r="C581" s="2">
        <v>45796</v>
      </c>
      <c r="I581">
        <f>D581+E581+H581</f>
        <v>0</v>
      </c>
      <c r="L581">
        <v>19</v>
      </c>
      <c r="M581" t="s">
        <v>104</v>
      </c>
      <c r="N581" s="2">
        <v>45797</v>
      </c>
      <c r="T581">
        <f>O581+P581+S581</f>
        <v>0</v>
      </c>
    </row>
    <row r="582" spans="1:21">
      <c r="A582">
        <v>20</v>
      </c>
      <c r="B582" t="s">
        <v>26</v>
      </c>
      <c r="C582" s="2">
        <v>45796</v>
      </c>
      <c r="I582">
        <f t="shared" ref="I582" si="84">D582+E582+H582</f>
        <v>0</v>
      </c>
      <c r="J582" t="s">
        <v>54</v>
      </c>
      <c r="L582">
        <v>20</v>
      </c>
      <c r="M582" t="s">
        <v>26</v>
      </c>
      <c r="N582" s="2">
        <v>45797</v>
      </c>
      <c r="T582">
        <f t="shared" ref="T582" si="85">O582+P582+S582</f>
        <v>0</v>
      </c>
      <c r="U582" t="s">
        <v>54</v>
      </c>
    </row>
    <row r="583" spans="1:21">
      <c r="B583" t="s">
        <v>8</v>
      </c>
      <c r="D583">
        <f>D563+D564+D565+D566+D567+D568+D570+D569+D571+D572+D573+D574+D575+D576+D578+D580</f>
        <v>1397</v>
      </c>
      <c r="E583">
        <f>SUM(E563:E582)</f>
        <v>1896</v>
      </c>
      <c r="I583">
        <f>I563+I564+I565+I566+I567+I568+I569+I570+I571+I572+I573+I574+I575+I576+I577+I578+I579+I580+I581+I582</f>
        <v>3571</v>
      </c>
      <c r="M583" t="s">
        <v>8</v>
      </c>
      <c r="O583">
        <f>O563+O564+O565+O566+O567+O568+O570+O569+O571+O572+O573+O574+O575+O576+O578+O580</f>
        <v>1057</v>
      </c>
      <c r="P583">
        <f>SUM(P563:P582)</f>
        <v>1221</v>
      </c>
      <c r="T583">
        <f>T563+T564+T565+T566+T567+T568+T569+T570+T571+T572+T573+T574+T575+T576+T577+T578+T579+T580+T581+T582</f>
        <v>2494</v>
      </c>
    </row>
    <row r="586" spans="1:21">
      <c r="B586" t="s">
        <v>38</v>
      </c>
      <c r="C586" t="s">
        <v>231</v>
      </c>
      <c r="M586" t="s">
        <v>38</v>
      </c>
      <c r="N586" t="s">
        <v>232</v>
      </c>
    </row>
    <row r="587" spans="1:21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t="s">
        <v>51</v>
      </c>
      <c r="L587" t="s">
        <v>0</v>
      </c>
      <c r="M587" t="s">
        <v>1</v>
      </c>
      <c r="N587" t="s">
        <v>2</v>
      </c>
      <c r="O587" t="s">
        <v>3</v>
      </c>
      <c r="P587" t="s">
        <v>4</v>
      </c>
      <c r="Q587" t="s">
        <v>5</v>
      </c>
      <c r="R587" t="s">
        <v>6</v>
      </c>
      <c r="S587" t="s">
        <v>7</v>
      </c>
      <c r="T587" t="s">
        <v>8</v>
      </c>
      <c r="U587" t="s">
        <v>51</v>
      </c>
    </row>
    <row r="588" spans="1:21">
      <c r="A588">
        <v>1</v>
      </c>
      <c r="B588" t="s">
        <v>9</v>
      </c>
      <c r="C588" s="2">
        <v>45798</v>
      </c>
      <c r="D588">
        <v>29</v>
      </c>
      <c r="E588">
        <v>36</v>
      </c>
      <c r="F588">
        <v>4</v>
      </c>
      <c r="G588">
        <v>4</v>
      </c>
      <c r="H588">
        <v>8</v>
      </c>
      <c r="I588">
        <f>D588+E588+H588</f>
        <v>73</v>
      </c>
      <c r="J588" t="s">
        <v>50</v>
      </c>
      <c r="L588">
        <v>1</v>
      </c>
      <c r="M588" t="s">
        <v>9</v>
      </c>
      <c r="N588" s="2">
        <v>45799</v>
      </c>
      <c r="O588">
        <v>9</v>
      </c>
      <c r="P588">
        <v>6</v>
      </c>
      <c r="Q588">
        <v>2</v>
      </c>
      <c r="R588">
        <v>0</v>
      </c>
      <c r="S588">
        <v>2</v>
      </c>
      <c r="T588">
        <f>O588+P588+S588</f>
        <v>17</v>
      </c>
      <c r="U588" t="s">
        <v>50</v>
      </c>
    </row>
    <row r="589" spans="1:21">
      <c r="A589">
        <v>2</v>
      </c>
      <c r="B589" t="s">
        <v>11</v>
      </c>
      <c r="C589" s="2">
        <v>45798</v>
      </c>
      <c r="D589">
        <v>15</v>
      </c>
      <c r="E589">
        <v>8</v>
      </c>
      <c r="H589">
        <v>0</v>
      </c>
      <c r="I589">
        <f>D589+E589+H589</f>
        <v>23</v>
      </c>
      <c r="J589" t="s">
        <v>52</v>
      </c>
      <c r="L589">
        <v>2</v>
      </c>
      <c r="M589" t="s">
        <v>11</v>
      </c>
      <c r="N589" s="2">
        <v>45799</v>
      </c>
      <c r="O589">
        <v>10</v>
      </c>
      <c r="P589">
        <v>6</v>
      </c>
      <c r="S589">
        <v>0</v>
      </c>
      <c r="T589">
        <f>O589+P589+S589</f>
        <v>16</v>
      </c>
      <c r="U589" t="s">
        <v>52</v>
      </c>
    </row>
    <row r="590" spans="1:21">
      <c r="A590">
        <v>3</v>
      </c>
      <c r="B590" t="s">
        <v>12</v>
      </c>
      <c r="C590" s="2">
        <v>45798</v>
      </c>
      <c r="D590">
        <v>35</v>
      </c>
      <c r="E590">
        <v>22</v>
      </c>
      <c r="H590">
        <v>0</v>
      </c>
      <c r="I590">
        <f>SUM(D590,E590,H590)</f>
        <v>57</v>
      </c>
      <c r="J590" t="s">
        <v>53</v>
      </c>
      <c r="L590">
        <v>3</v>
      </c>
      <c r="M590" t="s">
        <v>12</v>
      </c>
      <c r="N590" s="2">
        <v>45799</v>
      </c>
      <c r="O590">
        <v>80</v>
      </c>
      <c r="P590">
        <v>60</v>
      </c>
      <c r="S590">
        <v>0</v>
      </c>
      <c r="T590">
        <f>SUM(O590,P590,S590)</f>
        <v>140</v>
      </c>
      <c r="U590" t="s">
        <v>53</v>
      </c>
    </row>
    <row r="591" spans="1:21">
      <c r="A591">
        <v>4</v>
      </c>
      <c r="B591" t="s">
        <v>13</v>
      </c>
      <c r="C591" s="2">
        <v>45798</v>
      </c>
      <c r="D591">
        <v>33</v>
      </c>
      <c r="E591">
        <v>17</v>
      </c>
      <c r="H591">
        <v>13</v>
      </c>
      <c r="I591">
        <f t="shared" ref="I591:I605" si="86">D591+E591+H591</f>
        <v>63</v>
      </c>
      <c r="J591" t="s">
        <v>52</v>
      </c>
      <c r="L591">
        <v>4</v>
      </c>
      <c r="M591" t="s">
        <v>13</v>
      </c>
      <c r="N591" s="2">
        <v>45799</v>
      </c>
      <c r="O591">
        <v>22</v>
      </c>
      <c r="P591">
        <v>14</v>
      </c>
      <c r="S591">
        <v>1</v>
      </c>
      <c r="T591">
        <f t="shared" ref="T591:T605" si="87">O591+P591+S591</f>
        <v>37</v>
      </c>
      <c r="U591" t="s">
        <v>52</v>
      </c>
    </row>
    <row r="592" spans="1:21">
      <c r="A592">
        <v>5</v>
      </c>
      <c r="B592" t="s">
        <v>14</v>
      </c>
      <c r="C592" s="2">
        <v>45798</v>
      </c>
      <c r="D592">
        <v>250</v>
      </c>
      <c r="E592">
        <v>381</v>
      </c>
      <c r="H592">
        <v>111</v>
      </c>
      <c r="I592">
        <f t="shared" si="86"/>
        <v>742</v>
      </c>
      <c r="J592" t="s">
        <v>54</v>
      </c>
      <c r="L592">
        <v>5</v>
      </c>
      <c r="M592" t="s">
        <v>14</v>
      </c>
      <c r="N592" s="2">
        <v>45799</v>
      </c>
      <c r="O592">
        <v>224</v>
      </c>
      <c r="P592">
        <v>308</v>
      </c>
      <c r="S592">
        <v>137</v>
      </c>
      <c r="T592">
        <f t="shared" si="87"/>
        <v>669</v>
      </c>
      <c r="U592" t="s">
        <v>54</v>
      </c>
    </row>
    <row r="593" spans="1:21">
      <c r="A593">
        <v>6</v>
      </c>
      <c r="B593" t="s">
        <v>15</v>
      </c>
      <c r="C593" s="2">
        <v>45798</v>
      </c>
      <c r="D593">
        <v>119</v>
      </c>
      <c r="E593">
        <v>75</v>
      </c>
      <c r="H593">
        <v>0</v>
      </c>
      <c r="I593">
        <f t="shared" si="86"/>
        <v>194</v>
      </c>
      <c r="J593" t="s">
        <v>55</v>
      </c>
      <c r="L593">
        <v>6</v>
      </c>
      <c r="M593" t="s">
        <v>15</v>
      </c>
      <c r="N593" s="2">
        <v>45799</v>
      </c>
      <c r="O593">
        <v>82</v>
      </c>
      <c r="P593">
        <v>71</v>
      </c>
      <c r="S593">
        <v>0</v>
      </c>
      <c r="T593">
        <f t="shared" si="87"/>
        <v>153</v>
      </c>
      <c r="U593" t="s">
        <v>55</v>
      </c>
    </row>
    <row r="594" spans="1:21">
      <c r="A594">
        <v>7</v>
      </c>
      <c r="B594" t="s">
        <v>16</v>
      </c>
      <c r="C594" s="2">
        <v>45798</v>
      </c>
      <c r="I594">
        <f t="shared" si="86"/>
        <v>0</v>
      </c>
      <c r="J594" t="s">
        <v>52</v>
      </c>
      <c r="L594">
        <v>7</v>
      </c>
      <c r="M594" t="s">
        <v>16</v>
      </c>
      <c r="N594" s="2">
        <v>45799</v>
      </c>
      <c r="T594">
        <f t="shared" si="87"/>
        <v>0</v>
      </c>
      <c r="U594" t="s">
        <v>52</v>
      </c>
    </row>
    <row r="595" spans="1:21">
      <c r="A595">
        <v>8</v>
      </c>
      <c r="B595" t="s">
        <v>17</v>
      </c>
      <c r="C595" s="2">
        <v>45798</v>
      </c>
      <c r="D595">
        <v>105</v>
      </c>
      <c r="E595">
        <v>96</v>
      </c>
      <c r="F595">
        <v>20</v>
      </c>
      <c r="G595">
        <v>15</v>
      </c>
      <c r="H595">
        <v>37</v>
      </c>
      <c r="I595">
        <f t="shared" si="86"/>
        <v>238</v>
      </c>
      <c r="J595" t="s">
        <v>50</v>
      </c>
      <c r="L595">
        <v>8</v>
      </c>
      <c r="M595" t="s">
        <v>17</v>
      </c>
      <c r="N595" s="2">
        <v>45799</v>
      </c>
      <c r="T595">
        <f t="shared" si="87"/>
        <v>0</v>
      </c>
      <c r="U595" t="s">
        <v>50</v>
      </c>
    </row>
    <row r="596" spans="1:21">
      <c r="A596">
        <v>9</v>
      </c>
      <c r="B596" t="s">
        <v>18</v>
      </c>
      <c r="C596" s="2">
        <v>45798</v>
      </c>
      <c r="D596">
        <v>52</v>
      </c>
      <c r="E596">
        <v>9</v>
      </c>
      <c r="H596">
        <v>4</v>
      </c>
      <c r="I596">
        <f t="shared" si="86"/>
        <v>65</v>
      </c>
      <c r="J596" t="s">
        <v>56</v>
      </c>
      <c r="L596">
        <v>9</v>
      </c>
      <c r="M596" t="s">
        <v>18</v>
      </c>
      <c r="N596" s="2">
        <v>45799</v>
      </c>
      <c r="T596">
        <f t="shared" si="87"/>
        <v>0</v>
      </c>
      <c r="U596" t="s">
        <v>56</v>
      </c>
    </row>
    <row r="597" spans="1:21">
      <c r="A597">
        <v>10</v>
      </c>
      <c r="B597" t="s">
        <v>19</v>
      </c>
      <c r="C597" s="2">
        <v>45798</v>
      </c>
      <c r="D597">
        <v>87</v>
      </c>
      <c r="E597">
        <v>111</v>
      </c>
      <c r="H597">
        <v>32</v>
      </c>
      <c r="I597">
        <f t="shared" si="86"/>
        <v>230</v>
      </c>
      <c r="J597" t="s">
        <v>53</v>
      </c>
      <c r="L597">
        <v>10</v>
      </c>
      <c r="M597" t="s">
        <v>19</v>
      </c>
      <c r="N597" s="2">
        <v>45799</v>
      </c>
      <c r="O597">
        <v>83</v>
      </c>
      <c r="P597">
        <v>129</v>
      </c>
      <c r="S597">
        <v>42</v>
      </c>
      <c r="T597">
        <f t="shared" si="87"/>
        <v>254</v>
      </c>
      <c r="U597" t="s">
        <v>53</v>
      </c>
    </row>
    <row r="598" spans="1:21">
      <c r="A598">
        <v>11</v>
      </c>
      <c r="B598" t="s">
        <v>25</v>
      </c>
      <c r="C598" s="2">
        <v>45798</v>
      </c>
      <c r="D598">
        <v>8</v>
      </c>
      <c r="E598">
        <v>2</v>
      </c>
      <c r="F598">
        <v>1</v>
      </c>
      <c r="G598">
        <v>2</v>
      </c>
      <c r="H598">
        <v>3</v>
      </c>
      <c r="I598">
        <f t="shared" si="86"/>
        <v>13</v>
      </c>
      <c r="J598" t="s">
        <v>54</v>
      </c>
      <c r="L598">
        <v>11</v>
      </c>
      <c r="M598" t="s">
        <v>25</v>
      </c>
      <c r="N598" s="2">
        <v>45799</v>
      </c>
      <c r="O598">
        <v>5</v>
      </c>
      <c r="P598">
        <v>1</v>
      </c>
      <c r="S598">
        <v>0</v>
      </c>
      <c r="T598">
        <f t="shared" si="87"/>
        <v>6</v>
      </c>
      <c r="U598" t="s">
        <v>54</v>
      </c>
    </row>
    <row r="599" spans="1:21">
      <c r="A599">
        <v>12</v>
      </c>
      <c r="B599" t="s">
        <v>27</v>
      </c>
      <c r="C599" s="2">
        <v>45798</v>
      </c>
      <c r="I599">
        <f t="shared" si="86"/>
        <v>0</v>
      </c>
      <c r="J599" t="s">
        <v>56</v>
      </c>
      <c r="L599">
        <v>12</v>
      </c>
      <c r="M599" t="s">
        <v>27</v>
      </c>
      <c r="N599" s="2">
        <v>45799</v>
      </c>
      <c r="O599">
        <v>195</v>
      </c>
      <c r="P599">
        <v>203</v>
      </c>
      <c r="Q599">
        <v>19</v>
      </c>
      <c r="R599">
        <v>11</v>
      </c>
      <c r="S599">
        <v>30</v>
      </c>
      <c r="T599">
        <f t="shared" si="87"/>
        <v>428</v>
      </c>
      <c r="U599" t="s">
        <v>56</v>
      </c>
    </row>
    <row r="600" spans="1:21">
      <c r="A600">
        <v>13</v>
      </c>
      <c r="B600" t="s">
        <v>20</v>
      </c>
      <c r="C600" s="2">
        <v>45798</v>
      </c>
      <c r="D600">
        <v>50</v>
      </c>
      <c r="E600">
        <v>36</v>
      </c>
      <c r="F600">
        <v>9</v>
      </c>
      <c r="G600">
        <v>12</v>
      </c>
      <c r="H600">
        <v>21</v>
      </c>
      <c r="I600">
        <f t="shared" si="86"/>
        <v>107</v>
      </c>
      <c r="J600" t="s">
        <v>57</v>
      </c>
      <c r="L600">
        <v>13</v>
      </c>
      <c r="M600" t="s">
        <v>20</v>
      </c>
      <c r="N600" s="2">
        <v>45799</v>
      </c>
      <c r="T600">
        <f t="shared" si="87"/>
        <v>0</v>
      </c>
      <c r="U600" t="s">
        <v>57</v>
      </c>
    </row>
    <row r="601" spans="1:21">
      <c r="A601">
        <v>14</v>
      </c>
      <c r="B601" t="s">
        <v>32</v>
      </c>
      <c r="C601" s="2">
        <v>45798</v>
      </c>
      <c r="I601">
        <f t="shared" si="86"/>
        <v>0</v>
      </c>
      <c r="J601" t="s">
        <v>50</v>
      </c>
      <c r="L601">
        <v>14</v>
      </c>
      <c r="M601" t="s">
        <v>32</v>
      </c>
      <c r="N601" s="2">
        <v>45799</v>
      </c>
      <c r="T601">
        <f t="shared" si="87"/>
        <v>0</v>
      </c>
      <c r="U601" t="s">
        <v>50</v>
      </c>
    </row>
    <row r="602" spans="1:21">
      <c r="A602">
        <v>15</v>
      </c>
      <c r="B602" t="s">
        <v>48</v>
      </c>
      <c r="C602" s="2">
        <v>45798</v>
      </c>
      <c r="I602">
        <f t="shared" si="86"/>
        <v>0</v>
      </c>
      <c r="J602" t="s">
        <v>59</v>
      </c>
      <c r="L602">
        <v>15</v>
      </c>
      <c r="M602" t="s">
        <v>48</v>
      </c>
      <c r="N602" s="2">
        <v>45799</v>
      </c>
      <c r="T602">
        <f t="shared" si="87"/>
        <v>0</v>
      </c>
      <c r="U602" t="s">
        <v>59</v>
      </c>
    </row>
    <row r="603" spans="1:21">
      <c r="A603">
        <v>16</v>
      </c>
      <c r="B603" t="s">
        <v>37</v>
      </c>
      <c r="C603" s="2">
        <v>45798</v>
      </c>
      <c r="D603">
        <v>13</v>
      </c>
      <c r="E603">
        <v>15</v>
      </c>
      <c r="F603">
        <v>7</v>
      </c>
      <c r="G603">
        <v>5</v>
      </c>
      <c r="H603">
        <v>12</v>
      </c>
      <c r="I603">
        <f t="shared" si="86"/>
        <v>40</v>
      </c>
      <c r="J603" t="s">
        <v>55</v>
      </c>
      <c r="L603">
        <v>16</v>
      </c>
      <c r="M603" t="s">
        <v>37</v>
      </c>
      <c r="N603" s="2">
        <v>45799</v>
      </c>
      <c r="O603">
        <v>13</v>
      </c>
      <c r="P603">
        <v>20</v>
      </c>
      <c r="Q603">
        <v>0</v>
      </c>
      <c r="R603">
        <v>1</v>
      </c>
      <c r="S603">
        <v>1</v>
      </c>
      <c r="T603">
        <f t="shared" si="87"/>
        <v>34</v>
      </c>
      <c r="U603" t="s">
        <v>55</v>
      </c>
    </row>
    <row r="604" spans="1:21">
      <c r="A604">
        <v>17</v>
      </c>
      <c r="B604" t="s">
        <v>49</v>
      </c>
      <c r="C604" s="2">
        <v>45798</v>
      </c>
      <c r="I604">
        <f t="shared" si="86"/>
        <v>0</v>
      </c>
      <c r="J604" t="s">
        <v>59</v>
      </c>
      <c r="L604">
        <v>17</v>
      </c>
      <c r="M604" t="s">
        <v>49</v>
      </c>
      <c r="N604" s="2">
        <v>45799</v>
      </c>
      <c r="T604">
        <f t="shared" si="87"/>
        <v>0</v>
      </c>
      <c r="U604" t="s">
        <v>59</v>
      </c>
    </row>
    <row r="605" spans="1:21">
      <c r="A605">
        <v>18</v>
      </c>
      <c r="B605" t="s">
        <v>21</v>
      </c>
      <c r="C605" s="2">
        <v>45798</v>
      </c>
      <c r="D605">
        <v>371</v>
      </c>
      <c r="E605">
        <v>406</v>
      </c>
      <c r="H605">
        <v>0</v>
      </c>
      <c r="I605">
        <f t="shared" si="86"/>
        <v>777</v>
      </c>
      <c r="J605" t="s">
        <v>59</v>
      </c>
      <c r="L605">
        <v>18</v>
      </c>
      <c r="M605" t="s">
        <v>21</v>
      </c>
      <c r="N605" s="2">
        <v>45799</v>
      </c>
      <c r="O605">
        <v>313</v>
      </c>
      <c r="P605">
        <v>361</v>
      </c>
      <c r="S605">
        <v>0</v>
      </c>
      <c r="T605">
        <f t="shared" si="87"/>
        <v>674</v>
      </c>
      <c r="U605" t="s">
        <v>59</v>
      </c>
    </row>
    <row r="606" spans="1:21">
      <c r="A606">
        <v>19</v>
      </c>
      <c r="B606" t="s">
        <v>104</v>
      </c>
      <c r="C606" s="2">
        <v>45798</v>
      </c>
      <c r="I606">
        <f>D606+E606+H606</f>
        <v>0</v>
      </c>
      <c r="L606">
        <v>19</v>
      </c>
      <c r="M606" t="s">
        <v>104</v>
      </c>
      <c r="N606" s="2">
        <v>45799</v>
      </c>
      <c r="T606">
        <f>O606+P606+S606</f>
        <v>0</v>
      </c>
    </row>
    <row r="607" spans="1:21">
      <c r="A607">
        <v>20</v>
      </c>
      <c r="B607" t="s">
        <v>26</v>
      </c>
      <c r="C607" s="2">
        <v>45798</v>
      </c>
      <c r="I607">
        <f t="shared" ref="I607" si="88">D607+E607+H607</f>
        <v>0</v>
      </c>
      <c r="J607" t="s">
        <v>54</v>
      </c>
      <c r="L607">
        <v>20</v>
      </c>
      <c r="M607" t="s">
        <v>26</v>
      </c>
      <c r="N607" s="2">
        <v>45799</v>
      </c>
      <c r="T607">
        <f t="shared" ref="T607" si="89">O607+P607+S607</f>
        <v>0</v>
      </c>
      <c r="U607" t="s">
        <v>54</v>
      </c>
    </row>
    <row r="608" spans="1:21">
      <c r="B608" t="s">
        <v>8</v>
      </c>
      <c r="D608">
        <f>D588+D589+D590+D591+D592+D593+D595+D594+D596+D597+D598+D599+D600+D601+D603+D605</f>
        <v>1167</v>
      </c>
      <c r="E608">
        <f>SUM(E588:E607)</f>
        <v>1214</v>
      </c>
      <c r="I608">
        <f>I588+I589+I590+I591+I592+I593+I594+I595+I596+I597+I598+I599+I600+I601+I602+I603+I604+I605+I606+I607</f>
        <v>2622</v>
      </c>
      <c r="M608" t="s">
        <v>8</v>
      </c>
      <c r="O608">
        <f>O588+O589+O590+O591+O592+O593+O595+O594+O596+O597+O598+O599+O600+O601+O603+O605</f>
        <v>1036</v>
      </c>
      <c r="P608">
        <f>SUM(P588:P607)</f>
        <v>1179</v>
      </c>
      <c r="T608">
        <f>T588+T589+T590+T591+T592+T593+T594+T595+T596+T597+T598+T599+T600+T601+T602+T603+T604+T605+T606+T607</f>
        <v>2428</v>
      </c>
    </row>
    <row r="611" spans="1:21">
      <c r="B611" t="s">
        <v>38</v>
      </c>
      <c r="C611" t="s">
        <v>233</v>
      </c>
      <c r="M611" t="s">
        <v>38</v>
      </c>
      <c r="N611" t="s">
        <v>234</v>
      </c>
    </row>
    <row r="612" spans="1:21">
      <c r="A612" t="s">
        <v>0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51</v>
      </c>
      <c r="L612" t="s">
        <v>0</v>
      </c>
      <c r="M612" t="s">
        <v>1</v>
      </c>
      <c r="N612" t="s">
        <v>2</v>
      </c>
      <c r="O612" t="s">
        <v>3</v>
      </c>
      <c r="P612" t="s">
        <v>4</v>
      </c>
      <c r="Q612" t="s">
        <v>5</v>
      </c>
      <c r="R612" t="s">
        <v>6</v>
      </c>
      <c r="S612" t="s">
        <v>7</v>
      </c>
      <c r="T612" t="s">
        <v>8</v>
      </c>
      <c r="U612" t="s">
        <v>51</v>
      </c>
    </row>
    <row r="613" spans="1:21">
      <c r="A613">
        <v>1</v>
      </c>
      <c r="B613" t="s">
        <v>9</v>
      </c>
      <c r="C613" s="2">
        <v>45800</v>
      </c>
      <c r="D613">
        <v>19</v>
      </c>
      <c r="E613">
        <v>22</v>
      </c>
      <c r="F613">
        <v>7</v>
      </c>
      <c r="G613">
        <v>2</v>
      </c>
      <c r="H613">
        <v>9</v>
      </c>
      <c r="I613">
        <f>D613+E613+H613</f>
        <v>50</v>
      </c>
      <c r="J613" t="s">
        <v>50</v>
      </c>
      <c r="L613">
        <v>1</v>
      </c>
      <c r="M613" t="s">
        <v>9</v>
      </c>
      <c r="N613" s="2">
        <v>45801</v>
      </c>
      <c r="O613">
        <v>11</v>
      </c>
      <c r="P613">
        <v>6</v>
      </c>
      <c r="Q613">
        <v>4</v>
      </c>
      <c r="R613">
        <v>8</v>
      </c>
      <c r="S613">
        <v>12</v>
      </c>
      <c r="T613">
        <f>O613+P613+S613</f>
        <v>29</v>
      </c>
      <c r="U613" t="s">
        <v>50</v>
      </c>
    </row>
    <row r="614" spans="1:21">
      <c r="A614">
        <v>2</v>
      </c>
      <c r="B614" t="s">
        <v>11</v>
      </c>
      <c r="C614" s="2">
        <v>45800</v>
      </c>
      <c r="D614">
        <v>13</v>
      </c>
      <c r="E614">
        <v>4</v>
      </c>
      <c r="F614">
        <v>1</v>
      </c>
      <c r="G614">
        <v>3</v>
      </c>
      <c r="H614">
        <v>4</v>
      </c>
      <c r="I614">
        <f>D614+E614+H614</f>
        <v>21</v>
      </c>
      <c r="J614" t="s">
        <v>52</v>
      </c>
      <c r="L614">
        <v>2</v>
      </c>
      <c r="M614" t="s">
        <v>11</v>
      </c>
      <c r="N614" s="2">
        <v>45801</v>
      </c>
      <c r="O614">
        <v>19</v>
      </c>
      <c r="P614">
        <v>2</v>
      </c>
      <c r="Q614">
        <v>0</v>
      </c>
      <c r="R614">
        <v>0</v>
      </c>
      <c r="S614">
        <v>0</v>
      </c>
      <c r="T614">
        <f>O614+P614+S614</f>
        <v>21</v>
      </c>
      <c r="U614" t="s">
        <v>52</v>
      </c>
    </row>
    <row r="615" spans="1:21">
      <c r="A615">
        <v>3</v>
      </c>
      <c r="B615" t="s">
        <v>12</v>
      </c>
      <c r="C615" s="2">
        <v>45800</v>
      </c>
      <c r="D615">
        <v>32</v>
      </c>
      <c r="E615">
        <v>27</v>
      </c>
      <c r="H615">
        <v>0</v>
      </c>
      <c r="I615">
        <f>SUM(D615,E615,H615)</f>
        <v>59</v>
      </c>
      <c r="J615" t="s">
        <v>53</v>
      </c>
      <c r="L615">
        <v>3</v>
      </c>
      <c r="M615" t="s">
        <v>12</v>
      </c>
      <c r="N615" s="2">
        <v>45801</v>
      </c>
      <c r="O615">
        <v>35</v>
      </c>
      <c r="P615">
        <v>20</v>
      </c>
      <c r="S615">
        <v>0</v>
      </c>
      <c r="T615">
        <f>SUM(O615,P615,S615)</f>
        <v>55</v>
      </c>
      <c r="U615" t="s">
        <v>53</v>
      </c>
    </row>
    <row r="616" spans="1:21">
      <c r="A616">
        <v>4</v>
      </c>
      <c r="B616" t="s">
        <v>13</v>
      </c>
      <c r="C616" s="2">
        <v>45800</v>
      </c>
      <c r="D616">
        <v>29</v>
      </c>
      <c r="E616">
        <v>20</v>
      </c>
      <c r="H616">
        <v>5</v>
      </c>
      <c r="I616">
        <f t="shared" ref="I616:I630" si="90">D616+E616+H616</f>
        <v>54</v>
      </c>
      <c r="J616" t="s">
        <v>52</v>
      </c>
      <c r="L616">
        <v>4</v>
      </c>
      <c r="M616" t="s">
        <v>13</v>
      </c>
      <c r="N616" s="2">
        <v>45801</v>
      </c>
      <c r="O616">
        <v>46</v>
      </c>
      <c r="P616">
        <v>15</v>
      </c>
      <c r="S616">
        <v>4</v>
      </c>
      <c r="T616">
        <f t="shared" ref="T616:T630" si="91">O616+P616+S616</f>
        <v>65</v>
      </c>
      <c r="U616" t="s">
        <v>52</v>
      </c>
    </row>
    <row r="617" spans="1:21">
      <c r="A617">
        <v>5</v>
      </c>
      <c r="B617" t="s">
        <v>14</v>
      </c>
      <c r="C617" s="2">
        <v>45800</v>
      </c>
      <c r="D617">
        <v>184</v>
      </c>
      <c r="E617">
        <v>303</v>
      </c>
      <c r="H617">
        <v>118</v>
      </c>
      <c r="I617">
        <f t="shared" si="90"/>
        <v>605</v>
      </c>
      <c r="J617" t="s">
        <v>54</v>
      </c>
      <c r="L617">
        <v>5</v>
      </c>
      <c r="M617" t="s">
        <v>14</v>
      </c>
      <c r="N617" s="2">
        <v>45801</v>
      </c>
      <c r="O617">
        <v>252</v>
      </c>
      <c r="P617">
        <v>285</v>
      </c>
      <c r="S617">
        <v>119</v>
      </c>
      <c r="T617">
        <f t="shared" si="91"/>
        <v>656</v>
      </c>
      <c r="U617" t="s">
        <v>54</v>
      </c>
    </row>
    <row r="618" spans="1:21">
      <c r="A618">
        <v>6</v>
      </c>
      <c r="B618" t="s">
        <v>15</v>
      </c>
      <c r="C618" s="2">
        <v>45800</v>
      </c>
      <c r="D618">
        <v>83</v>
      </c>
      <c r="E618">
        <v>61</v>
      </c>
      <c r="H618">
        <v>0</v>
      </c>
      <c r="I618">
        <f t="shared" si="90"/>
        <v>144</v>
      </c>
      <c r="J618" t="s">
        <v>55</v>
      </c>
      <c r="L618">
        <v>6</v>
      </c>
      <c r="M618" t="s">
        <v>15</v>
      </c>
      <c r="N618" s="2">
        <v>45801</v>
      </c>
      <c r="O618">
        <v>88</v>
      </c>
      <c r="P618">
        <v>98</v>
      </c>
      <c r="S618">
        <v>0</v>
      </c>
      <c r="T618">
        <f t="shared" si="91"/>
        <v>186</v>
      </c>
      <c r="U618" t="s">
        <v>55</v>
      </c>
    </row>
    <row r="619" spans="1:21">
      <c r="A619">
        <v>7</v>
      </c>
      <c r="B619" t="s">
        <v>16</v>
      </c>
      <c r="C619" s="2">
        <v>45800</v>
      </c>
      <c r="I619">
        <f t="shared" si="90"/>
        <v>0</v>
      </c>
      <c r="J619" t="s">
        <v>52</v>
      </c>
      <c r="L619">
        <v>7</v>
      </c>
      <c r="M619" t="s">
        <v>16</v>
      </c>
      <c r="N619" s="2">
        <v>45801</v>
      </c>
      <c r="T619">
        <f t="shared" si="91"/>
        <v>0</v>
      </c>
      <c r="U619" t="s">
        <v>52</v>
      </c>
    </row>
    <row r="620" spans="1:21">
      <c r="A620">
        <v>8</v>
      </c>
      <c r="B620" t="s">
        <v>17</v>
      </c>
      <c r="C620" s="2">
        <v>45800</v>
      </c>
      <c r="D620">
        <v>142</v>
      </c>
      <c r="E620">
        <v>165</v>
      </c>
      <c r="F620">
        <v>15</v>
      </c>
      <c r="G620">
        <v>30</v>
      </c>
      <c r="H620">
        <v>5</v>
      </c>
      <c r="I620">
        <f t="shared" si="90"/>
        <v>312</v>
      </c>
      <c r="J620" t="s">
        <v>50</v>
      </c>
      <c r="L620">
        <v>8</v>
      </c>
      <c r="M620" t="s">
        <v>17</v>
      </c>
      <c r="N620" s="2">
        <v>45801</v>
      </c>
      <c r="O620">
        <v>23</v>
      </c>
      <c r="P620">
        <v>16</v>
      </c>
      <c r="Q620">
        <v>7</v>
      </c>
      <c r="R620">
        <v>6</v>
      </c>
      <c r="S620">
        <v>13</v>
      </c>
      <c r="T620">
        <f t="shared" si="91"/>
        <v>52</v>
      </c>
      <c r="U620" t="s">
        <v>50</v>
      </c>
    </row>
    <row r="621" spans="1:21">
      <c r="A621">
        <v>9</v>
      </c>
      <c r="B621" t="s">
        <v>18</v>
      </c>
      <c r="C621" s="2">
        <v>45800</v>
      </c>
      <c r="D621">
        <v>53</v>
      </c>
      <c r="E621">
        <v>13</v>
      </c>
      <c r="H621">
        <v>11</v>
      </c>
      <c r="I621">
        <f t="shared" si="90"/>
        <v>77</v>
      </c>
      <c r="J621" t="s">
        <v>56</v>
      </c>
      <c r="L621">
        <v>9</v>
      </c>
      <c r="M621" t="s">
        <v>18</v>
      </c>
      <c r="N621" s="2">
        <v>45801</v>
      </c>
      <c r="O621">
        <v>38</v>
      </c>
      <c r="P621">
        <v>15</v>
      </c>
      <c r="S621">
        <v>7</v>
      </c>
      <c r="T621">
        <f t="shared" si="91"/>
        <v>60</v>
      </c>
      <c r="U621" t="s">
        <v>56</v>
      </c>
    </row>
    <row r="622" spans="1:21">
      <c r="A622">
        <v>10</v>
      </c>
      <c r="B622" t="s">
        <v>19</v>
      </c>
      <c r="C622" s="2">
        <v>45800</v>
      </c>
      <c r="I622">
        <f t="shared" si="90"/>
        <v>0</v>
      </c>
      <c r="J622" t="s">
        <v>53</v>
      </c>
      <c r="L622">
        <v>10</v>
      </c>
      <c r="M622" t="s">
        <v>19</v>
      </c>
      <c r="N622" s="2">
        <v>45801</v>
      </c>
      <c r="O622">
        <v>85</v>
      </c>
      <c r="P622">
        <v>128</v>
      </c>
      <c r="S622">
        <v>36</v>
      </c>
      <c r="T622">
        <f t="shared" si="91"/>
        <v>249</v>
      </c>
      <c r="U622" t="s">
        <v>53</v>
      </c>
    </row>
    <row r="623" spans="1:21">
      <c r="A623">
        <v>11</v>
      </c>
      <c r="B623" t="s">
        <v>25</v>
      </c>
      <c r="C623" s="2">
        <v>45800</v>
      </c>
      <c r="D623">
        <v>9</v>
      </c>
      <c r="E623">
        <v>1</v>
      </c>
      <c r="F623">
        <v>0</v>
      </c>
      <c r="G623">
        <v>0</v>
      </c>
      <c r="H623">
        <v>0</v>
      </c>
      <c r="I623">
        <f t="shared" si="90"/>
        <v>10</v>
      </c>
      <c r="J623" t="s">
        <v>54</v>
      </c>
      <c r="L623">
        <v>11</v>
      </c>
      <c r="M623" t="s">
        <v>25</v>
      </c>
      <c r="N623" s="2">
        <v>45801</v>
      </c>
      <c r="O623">
        <v>9</v>
      </c>
      <c r="P623">
        <v>3</v>
      </c>
      <c r="Q623">
        <v>1</v>
      </c>
      <c r="R623">
        <v>4</v>
      </c>
      <c r="S623">
        <v>5</v>
      </c>
      <c r="T623">
        <f t="shared" si="91"/>
        <v>17</v>
      </c>
      <c r="U623" t="s">
        <v>54</v>
      </c>
    </row>
    <row r="624" spans="1:21">
      <c r="A624">
        <v>12</v>
      </c>
      <c r="B624" t="s">
        <v>27</v>
      </c>
      <c r="C624" s="2">
        <v>45800</v>
      </c>
      <c r="D624">
        <v>93</v>
      </c>
      <c r="E624">
        <v>105</v>
      </c>
      <c r="H624">
        <v>38</v>
      </c>
      <c r="I624">
        <f t="shared" si="90"/>
        <v>236</v>
      </c>
      <c r="J624" t="s">
        <v>56</v>
      </c>
      <c r="L624">
        <v>12</v>
      </c>
      <c r="M624" t="s">
        <v>27</v>
      </c>
      <c r="N624" s="2">
        <v>45801</v>
      </c>
      <c r="T624">
        <f t="shared" si="91"/>
        <v>0</v>
      </c>
      <c r="U624" t="s">
        <v>56</v>
      </c>
    </row>
    <row r="625" spans="1:21">
      <c r="A625">
        <v>13</v>
      </c>
      <c r="B625" t="s">
        <v>20</v>
      </c>
      <c r="C625" s="2">
        <v>45800</v>
      </c>
      <c r="I625">
        <f t="shared" si="90"/>
        <v>0</v>
      </c>
      <c r="J625" t="s">
        <v>57</v>
      </c>
      <c r="L625">
        <v>13</v>
      </c>
      <c r="M625" t="s">
        <v>20</v>
      </c>
      <c r="N625" s="2">
        <v>45801</v>
      </c>
      <c r="T625">
        <f t="shared" si="91"/>
        <v>0</v>
      </c>
      <c r="U625" t="s">
        <v>57</v>
      </c>
    </row>
    <row r="626" spans="1:21">
      <c r="A626">
        <v>14</v>
      </c>
      <c r="B626" t="s">
        <v>32</v>
      </c>
      <c r="C626" s="2">
        <v>45800</v>
      </c>
      <c r="D626">
        <v>22</v>
      </c>
      <c r="E626">
        <v>39</v>
      </c>
      <c r="F626">
        <v>3</v>
      </c>
      <c r="G626">
        <v>9</v>
      </c>
      <c r="I626">
        <f t="shared" si="90"/>
        <v>61</v>
      </c>
      <c r="J626" t="s">
        <v>50</v>
      </c>
      <c r="L626">
        <v>14</v>
      </c>
      <c r="M626" t="s">
        <v>32</v>
      </c>
      <c r="N626" s="2">
        <v>45801</v>
      </c>
      <c r="O626">
        <v>20</v>
      </c>
      <c r="P626">
        <v>27</v>
      </c>
      <c r="Q626">
        <v>1</v>
      </c>
      <c r="R626">
        <v>2</v>
      </c>
      <c r="S626">
        <v>3</v>
      </c>
      <c r="T626">
        <f t="shared" si="91"/>
        <v>50</v>
      </c>
      <c r="U626" t="s">
        <v>50</v>
      </c>
    </row>
    <row r="627" spans="1:21">
      <c r="A627">
        <v>15</v>
      </c>
      <c r="B627" t="s">
        <v>48</v>
      </c>
      <c r="C627" s="2">
        <v>45800</v>
      </c>
      <c r="I627">
        <f t="shared" si="90"/>
        <v>0</v>
      </c>
      <c r="J627" t="s">
        <v>59</v>
      </c>
      <c r="L627">
        <v>15</v>
      </c>
      <c r="M627" t="s">
        <v>48</v>
      </c>
      <c r="N627" s="2">
        <v>45801</v>
      </c>
      <c r="T627">
        <f t="shared" si="91"/>
        <v>0</v>
      </c>
      <c r="U627" t="s">
        <v>59</v>
      </c>
    </row>
    <row r="628" spans="1:21">
      <c r="A628">
        <v>16</v>
      </c>
      <c r="B628" t="s">
        <v>37</v>
      </c>
      <c r="C628" s="2">
        <v>45800</v>
      </c>
      <c r="D628">
        <v>22</v>
      </c>
      <c r="E628">
        <v>14</v>
      </c>
      <c r="F628">
        <v>1</v>
      </c>
      <c r="G628">
        <v>4</v>
      </c>
      <c r="H628">
        <v>5</v>
      </c>
      <c r="I628">
        <f t="shared" si="90"/>
        <v>41</v>
      </c>
      <c r="J628" t="s">
        <v>55</v>
      </c>
      <c r="L628">
        <v>16</v>
      </c>
      <c r="M628" t="s">
        <v>37</v>
      </c>
      <c r="N628" s="2">
        <v>45801</v>
      </c>
      <c r="O628">
        <v>25</v>
      </c>
      <c r="P628">
        <v>16</v>
      </c>
      <c r="Q628">
        <v>2</v>
      </c>
      <c r="R628">
        <v>3</v>
      </c>
      <c r="S628">
        <v>5</v>
      </c>
      <c r="T628">
        <f t="shared" si="91"/>
        <v>46</v>
      </c>
      <c r="U628" t="s">
        <v>55</v>
      </c>
    </row>
    <row r="629" spans="1:21">
      <c r="A629">
        <v>17</v>
      </c>
      <c r="B629" t="s">
        <v>49</v>
      </c>
      <c r="C629" s="2">
        <v>45800</v>
      </c>
      <c r="I629">
        <f t="shared" si="90"/>
        <v>0</v>
      </c>
      <c r="J629" t="s">
        <v>59</v>
      </c>
      <c r="L629">
        <v>17</v>
      </c>
      <c r="M629" t="s">
        <v>49</v>
      </c>
      <c r="N629" s="2">
        <v>45801</v>
      </c>
      <c r="T629">
        <f t="shared" si="91"/>
        <v>0</v>
      </c>
      <c r="U629" t="s">
        <v>59</v>
      </c>
    </row>
    <row r="630" spans="1:21">
      <c r="A630">
        <v>18</v>
      </c>
      <c r="B630" t="s">
        <v>21</v>
      </c>
      <c r="C630" s="2">
        <v>45800</v>
      </c>
      <c r="D630">
        <v>593</v>
      </c>
      <c r="E630">
        <v>585</v>
      </c>
      <c r="H630">
        <v>0</v>
      </c>
      <c r="I630">
        <f t="shared" si="90"/>
        <v>1178</v>
      </c>
      <c r="J630" t="s">
        <v>59</v>
      </c>
      <c r="L630">
        <v>18</v>
      </c>
      <c r="M630" t="s">
        <v>21</v>
      </c>
      <c r="N630" s="2">
        <v>45801</v>
      </c>
      <c r="O630">
        <v>384</v>
      </c>
      <c r="P630">
        <v>437</v>
      </c>
      <c r="S630">
        <v>0</v>
      </c>
      <c r="T630">
        <f t="shared" si="91"/>
        <v>821</v>
      </c>
      <c r="U630" t="s">
        <v>59</v>
      </c>
    </row>
    <row r="631" spans="1:21">
      <c r="A631">
        <v>19</v>
      </c>
      <c r="B631" t="s">
        <v>104</v>
      </c>
      <c r="C631" s="2">
        <v>45800</v>
      </c>
      <c r="I631">
        <f>D631+E631+H631</f>
        <v>0</v>
      </c>
      <c r="L631">
        <v>19</v>
      </c>
      <c r="M631" t="s">
        <v>104</v>
      </c>
      <c r="N631" s="2">
        <v>45801</v>
      </c>
      <c r="T631">
        <f>O631+P631+S631</f>
        <v>0</v>
      </c>
    </row>
    <row r="632" spans="1:21">
      <c r="A632">
        <v>20</v>
      </c>
      <c r="B632" t="s">
        <v>26</v>
      </c>
      <c r="C632" s="2">
        <v>45800</v>
      </c>
      <c r="I632">
        <f t="shared" ref="I632" si="92">D632+E632+H632</f>
        <v>0</v>
      </c>
      <c r="J632" t="s">
        <v>54</v>
      </c>
      <c r="L632">
        <v>20</v>
      </c>
      <c r="M632" t="s">
        <v>26</v>
      </c>
      <c r="N632" s="2">
        <v>45801</v>
      </c>
      <c r="T632">
        <f t="shared" ref="T632" si="93">O632+P632+S632</f>
        <v>0</v>
      </c>
      <c r="U632" t="s">
        <v>54</v>
      </c>
    </row>
    <row r="633" spans="1:21">
      <c r="B633" t="s">
        <v>8</v>
      </c>
      <c r="D633">
        <f>D613+D614+D615+D616+D617+D618+D620+D619+D621+D622+D623+D624+D625+D626+D628+D630</f>
        <v>1294</v>
      </c>
      <c r="E633">
        <f>SUM(E613:E632)</f>
        <v>1359</v>
      </c>
      <c r="I633">
        <f>I613+I614+I615+I616+I617+I618+I619+I620+I621+I622+I623+I624+I625+I626+I627+I628+I629+I630+I631+I632</f>
        <v>2848</v>
      </c>
      <c r="M633" t="s">
        <v>8</v>
      </c>
      <c r="O633">
        <f>O613+O614+O615+O616+O617+O618+O620+O619+O621+O622+O623+O624+O625+O626+O628+O630</f>
        <v>1035</v>
      </c>
      <c r="P633">
        <f>SUM(P613:P632)</f>
        <v>1068</v>
      </c>
      <c r="T633">
        <f>T613+T614+T615+T616+T617+T618+T619+T620+T621+T622+T623+T624+T625+T626+T627+T628+T629+T630+T631+T632</f>
        <v>2307</v>
      </c>
    </row>
    <row r="636" spans="1:21">
      <c r="B636" t="s">
        <v>38</v>
      </c>
      <c r="C636" t="s">
        <v>235</v>
      </c>
    </row>
    <row r="637" spans="1:21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51</v>
      </c>
      <c r="M637" t="s">
        <v>38</v>
      </c>
      <c r="N637" t="s">
        <v>236</v>
      </c>
    </row>
    <row r="638" spans="1:21">
      <c r="A638">
        <v>1</v>
      </c>
      <c r="B638" t="s">
        <v>9</v>
      </c>
      <c r="C638" s="2">
        <v>45802</v>
      </c>
      <c r="D638">
        <v>20</v>
      </c>
      <c r="E638">
        <v>13</v>
      </c>
      <c r="F638">
        <v>2</v>
      </c>
      <c r="G638">
        <v>1</v>
      </c>
      <c r="H638">
        <v>3</v>
      </c>
      <c r="I638">
        <f>D638+E638+H638</f>
        <v>36</v>
      </c>
      <c r="J638" t="s">
        <v>50</v>
      </c>
      <c r="L638" t="s">
        <v>0</v>
      </c>
      <c r="M638" t="s">
        <v>1</v>
      </c>
      <c r="N638" t="s">
        <v>2</v>
      </c>
      <c r="O638" t="s">
        <v>3</v>
      </c>
      <c r="P638" t="s">
        <v>4</v>
      </c>
      <c r="Q638" t="s">
        <v>5</v>
      </c>
      <c r="R638" t="s">
        <v>6</v>
      </c>
      <c r="S638" t="s">
        <v>7</v>
      </c>
      <c r="T638" t="s">
        <v>8</v>
      </c>
      <c r="U638" t="s">
        <v>51</v>
      </c>
    </row>
    <row r="639" spans="1:21">
      <c r="A639">
        <v>2</v>
      </c>
      <c r="B639" t="s">
        <v>11</v>
      </c>
      <c r="C639" s="2">
        <v>45802</v>
      </c>
      <c r="D639">
        <v>14</v>
      </c>
      <c r="E639">
        <v>1</v>
      </c>
      <c r="F639">
        <v>0</v>
      </c>
      <c r="G639">
        <v>0</v>
      </c>
      <c r="H639">
        <v>0</v>
      </c>
      <c r="I639">
        <f>D639+E639+H639</f>
        <v>15</v>
      </c>
      <c r="J639" t="s">
        <v>52</v>
      </c>
      <c r="L639">
        <v>1</v>
      </c>
      <c r="M639" t="s">
        <v>9</v>
      </c>
      <c r="N639" s="2">
        <v>45803</v>
      </c>
      <c r="T639">
        <f>O639+P639+S639</f>
        <v>0</v>
      </c>
      <c r="U639" t="s">
        <v>50</v>
      </c>
    </row>
    <row r="640" spans="1:21">
      <c r="A640">
        <v>3</v>
      </c>
      <c r="B640" t="s">
        <v>12</v>
      </c>
      <c r="C640" s="2">
        <v>45802</v>
      </c>
      <c r="D640">
        <v>31</v>
      </c>
      <c r="E640">
        <v>20</v>
      </c>
      <c r="H640">
        <v>0</v>
      </c>
      <c r="I640">
        <f>SUM(D640,E640,H640)</f>
        <v>51</v>
      </c>
      <c r="J640" t="s">
        <v>53</v>
      </c>
      <c r="L640">
        <v>2</v>
      </c>
      <c r="M640" t="s">
        <v>11</v>
      </c>
      <c r="N640" s="2">
        <v>45803</v>
      </c>
      <c r="T640">
        <f>O640+P640+S640</f>
        <v>0</v>
      </c>
      <c r="U640" t="s">
        <v>52</v>
      </c>
    </row>
    <row r="641" spans="1:21">
      <c r="A641">
        <v>4</v>
      </c>
      <c r="B641" t="s">
        <v>13</v>
      </c>
      <c r="C641" s="2">
        <v>45802</v>
      </c>
      <c r="D641">
        <v>14</v>
      </c>
      <c r="E641">
        <v>4</v>
      </c>
      <c r="H641">
        <v>1</v>
      </c>
      <c r="I641">
        <f t="shared" ref="I641:I655" si="94">D641+E641+H641</f>
        <v>19</v>
      </c>
      <c r="J641" t="s">
        <v>52</v>
      </c>
      <c r="L641">
        <v>3</v>
      </c>
      <c r="M641" t="s">
        <v>12</v>
      </c>
      <c r="N641" s="2">
        <v>45803</v>
      </c>
      <c r="O641">
        <v>75</v>
      </c>
      <c r="P641">
        <v>63</v>
      </c>
      <c r="S641">
        <v>0</v>
      </c>
      <c r="T641">
        <f>SUM(O641,P641,S641)</f>
        <v>138</v>
      </c>
      <c r="U641" t="s">
        <v>53</v>
      </c>
    </row>
    <row r="642" spans="1:21">
      <c r="A642">
        <v>5</v>
      </c>
      <c r="B642" t="s">
        <v>14</v>
      </c>
      <c r="C642" s="2">
        <v>45802</v>
      </c>
      <c r="I642">
        <f t="shared" si="94"/>
        <v>0</v>
      </c>
      <c r="J642" t="s">
        <v>54</v>
      </c>
      <c r="L642">
        <v>4</v>
      </c>
      <c r="M642" t="s">
        <v>13</v>
      </c>
      <c r="N642" s="2">
        <v>45803</v>
      </c>
      <c r="O642">
        <v>27</v>
      </c>
      <c r="P642">
        <v>16</v>
      </c>
      <c r="S642">
        <v>29</v>
      </c>
      <c r="T642">
        <f t="shared" ref="T642:T656" si="95">O642+P642+S642</f>
        <v>72</v>
      </c>
      <c r="U642" t="s">
        <v>52</v>
      </c>
    </row>
    <row r="643" spans="1:21">
      <c r="A643">
        <v>6</v>
      </c>
      <c r="B643" t="s">
        <v>15</v>
      </c>
      <c r="C643" s="2">
        <v>45802</v>
      </c>
      <c r="D643">
        <v>83</v>
      </c>
      <c r="E643">
        <v>61</v>
      </c>
      <c r="H643">
        <v>0</v>
      </c>
      <c r="I643">
        <f t="shared" si="94"/>
        <v>144</v>
      </c>
      <c r="J643" t="s">
        <v>55</v>
      </c>
      <c r="L643">
        <v>5</v>
      </c>
      <c r="M643" t="s">
        <v>14</v>
      </c>
      <c r="N643" s="2">
        <v>45803</v>
      </c>
      <c r="O643">
        <v>340</v>
      </c>
      <c r="P643">
        <v>835</v>
      </c>
      <c r="S643">
        <v>152</v>
      </c>
      <c r="T643">
        <f t="shared" si="95"/>
        <v>1327</v>
      </c>
      <c r="U643" t="s">
        <v>54</v>
      </c>
    </row>
    <row r="644" spans="1:21">
      <c r="A644">
        <v>7</v>
      </c>
      <c r="B644" t="s">
        <v>16</v>
      </c>
      <c r="C644" s="2">
        <v>45802</v>
      </c>
      <c r="I644">
        <f t="shared" si="94"/>
        <v>0</v>
      </c>
      <c r="J644" t="s">
        <v>52</v>
      </c>
      <c r="L644">
        <v>6</v>
      </c>
      <c r="M644" t="s">
        <v>15</v>
      </c>
      <c r="N644" s="2">
        <v>45803</v>
      </c>
      <c r="O644">
        <v>85</v>
      </c>
      <c r="P644">
        <v>59</v>
      </c>
      <c r="S644">
        <v>0</v>
      </c>
      <c r="T644">
        <f t="shared" si="95"/>
        <v>144</v>
      </c>
      <c r="U644" t="s">
        <v>55</v>
      </c>
    </row>
    <row r="645" spans="1:21">
      <c r="A645">
        <v>8</v>
      </c>
      <c r="B645" t="s">
        <v>17</v>
      </c>
      <c r="C645" s="2">
        <v>45802</v>
      </c>
      <c r="D645">
        <v>133</v>
      </c>
      <c r="E645">
        <v>94</v>
      </c>
      <c r="F645">
        <v>34</v>
      </c>
      <c r="G645">
        <v>50</v>
      </c>
      <c r="H645">
        <v>84</v>
      </c>
      <c r="I645">
        <f t="shared" si="94"/>
        <v>311</v>
      </c>
      <c r="J645" t="s">
        <v>50</v>
      </c>
      <c r="L645">
        <v>7</v>
      </c>
      <c r="M645" t="s">
        <v>16</v>
      </c>
      <c r="N645" s="2">
        <v>45803</v>
      </c>
      <c r="T645">
        <f t="shared" si="95"/>
        <v>0</v>
      </c>
      <c r="U645" t="s">
        <v>52</v>
      </c>
    </row>
    <row r="646" spans="1:21">
      <c r="A646">
        <v>9</v>
      </c>
      <c r="B646" t="s">
        <v>18</v>
      </c>
      <c r="C646" s="2">
        <v>45802</v>
      </c>
      <c r="D646">
        <v>35</v>
      </c>
      <c r="E646">
        <v>15</v>
      </c>
      <c r="H646">
        <v>15</v>
      </c>
      <c r="I646">
        <f t="shared" si="94"/>
        <v>65</v>
      </c>
      <c r="J646" t="s">
        <v>56</v>
      </c>
      <c r="L646">
        <v>8</v>
      </c>
      <c r="M646" t="s">
        <v>17</v>
      </c>
      <c r="N646" s="2">
        <v>45803</v>
      </c>
      <c r="O646">
        <v>128</v>
      </c>
      <c r="P646">
        <v>129</v>
      </c>
      <c r="S646">
        <v>31</v>
      </c>
      <c r="T646">
        <f t="shared" si="95"/>
        <v>288</v>
      </c>
      <c r="U646" t="s">
        <v>50</v>
      </c>
    </row>
    <row r="647" spans="1:21">
      <c r="A647">
        <v>10</v>
      </c>
      <c r="B647" t="s">
        <v>19</v>
      </c>
      <c r="C647" s="2">
        <v>45802</v>
      </c>
      <c r="D647">
        <v>54</v>
      </c>
      <c r="E647">
        <v>74</v>
      </c>
      <c r="H647">
        <v>33</v>
      </c>
      <c r="I647">
        <f t="shared" si="94"/>
        <v>161</v>
      </c>
      <c r="J647" t="s">
        <v>53</v>
      </c>
      <c r="L647">
        <v>9</v>
      </c>
      <c r="M647" t="s">
        <v>18</v>
      </c>
      <c r="N647" s="2">
        <v>45803</v>
      </c>
      <c r="O647">
        <v>40</v>
      </c>
      <c r="P647">
        <v>14</v>
      </c>
      <c r="S647">
        <v>12</v>
      </c>
      <c r="T647">
        <f t="shared" si="95"/>
        <v>66</v>
      </c>
      <c r="U647" t="s">
        <v>56</v>
      </c>
    </row>
    <row r="648" spans="1:21">
      <c r="A648">
        <v>11</v>
      </c>
      <c r="B648" t="s">
        <v>25</v>
      </c>
      <c r="C648" s="2">
        <v>45802</v>
      </c>
      <c r="D648">
        <v>7</v>
      </c>
      <c r="E648">
        <v>1</v>
      </c>
      <c r="F648">
        <v>0</v>
      </c>
      <c r="G648">
        <v>1</v>
      </c>
      <c r="H648">
        <v>1</v>
      </c>
      <c r="I648">
        <f t="shared" si="94"/>
        <v>9</v>
      </c>
      <c r="J648" t="s">
        <v>54</v>
      </c>
      <c r="L648">
        <v>10</v>
      </c>
      <c r="M648" t="s">
        <v>19</v>
      </c>
      <c r="N648" s="2">
        <v>45803</v>
      </c>
      <c r="O648">
        <v>159</v>
      </c>
      <c r="P648">
        <v>109</v>
      </c>
      <c r="S648">
        <v>54</v>
      </c>
      <c r="T648">
        <f t="shared" si="95"/>
        <v>322</v>
      </c>
      <c r="U648" t="s">
        <v>53</v>
      </c>
    </row>
    <row r="649" spans="1:21">
      <c r="A649">
        <v>12</v>
      </c>
      <c r="B649" t="s">
        <v>27</v>
      </c>
      <c r="C649" s="2">
        <v>45802</v>
      </c>
      <c r="I649">
        <f t="shared" si="94"/>
        <v>0</v>
      </c>
      <c r="J649" t="s">
        <v>56</v>
      </c>
      <c r="L649">
        <v>11</v>
      </c>
      <c r="M649" t="s">
        <v>25</v>
      </c>
      <c r="N649" s="2">
        <v>45803</v>
      </c>
      <c r="T649">
        <f t="shared" si="95"/>
        <v>0</v>
      </c>
      <c r="U649" t="s">
        <v>54</v>
      </c>
    </row>
    <row r="650" spans="1:21">
      <c r="A650">
        <v>13</v>
      </c>
      <c r="B650" t="s">
        <v>20</v>
      </c>
      <c r="C650" s="2">
        <v>45802</v>
      </c>
      <c r="I650">
        <f t="shared" si="94"/>
        <v>0</v>
      </c>
      <c r="J650" t="s">
        <v>57</v>
      </c>
      <c r="L650">
        <v>12</v>
      </c>
      <c r="M650" t="s">
        <v>27</v>
      </c>
      <c r="N650" s="2">
        <v>45803</v>
      </c>
      <c r="T650">
        <f t="shared" si="95"/>
        <v>0</v>
      </c>
      <c r="U650" t="s">
        <v>56</v>
      </c>
    </row>
    <row r="651" spans="1:21">
      <c r="A651">
        <v>14</v>
      </c>
      <c r="B651" t="s">
        <v>32</v>
      </c>
      <c r="C651" s="2">
        <v>45802</v>
      </c>
      <c r="D651">
        <v>7</v>
      </c>
      <c r="E651">
        <v>5</v>
      </c>
      <c r="F651">
        <v>3</v>
      </c>
      <c r="G651">
        <v>1</v>
      </c>
      <c r="H651">
        <v>4</v>
      </c>
      <c r="I651">
        <f t="shared" si="94"/>
        <v>16</v>
      </c>
      <c r="J651" t="s">
        <v>50</v>
      </c>
      <c r="L651">
        <v>13</v>
      </c>
      <c r="M651" t="s">
        <v>20</v>
      </c>
      <c r="N651" s="2">
        <v>45803</v>
      </c>
      <c r="O651">
        <v>137</v>
      </c>
      <c r="P651">
        <v>110</v>
      </c>
      <c r="Q651">
        <v>7</v>
      </c>
      <c r="R651">
        <v>10</v>
      </c>
      <c r="S651">
        <v>17</v>
      </c>
      <c r="T651">
        <f t="shared" si="95"/>
        <v>264</v>
      </c>
      <c r="U651" t="s">
        <v>57</v>
      </c>
    </row>
    <row r="652" spans="1:21">
      <c r="A652">
        <v>15</v>
      </c>
      <c r="B652" t="s">
        <v>48</v>
      </c>
      <c r="C652" s="2">
        <v>45802</v>
      </c>
      <c r="I652">
        <f t="shared" si="94"/>
        <v>0</v>
      </c>
      <c r="J652" t="s">
        <v>59</v>
      </c>
      <c r="L652">
        <v>14</v>
      </c>
      <c r="M652" t="s">
        <v>32</v>
      </c>
      <c r="N652" s="2">
        <v>45803</v>
      </c>
      <c r="O652">
        <v>63</v>
      </c>
      <c r="P652">
        <v>122</v>
      </c>
      <c r="Q652">
        <v>11</v>
      </c>
      <c r="R652">
        <v>12</v>
      </c>
      <c r="S652">
        <v>23</v>
      </c>
      <c r="T652">
        <f t="shared" si="95"/>
        <v>208</v>
      </c>
      <c r="U652" t="s">
        <v>50</v>
      </c>
    </row>
    <row r="653" spans="1:21">
      <c r="A653">
        <v>16</v>
      </c>
      <c r="B653" t="s">
        <v>37</v>
      </c>
      <c r="C653" s="2">
        <v>45802</v>
      </c>
      <c r="D653">
        <v>13</v>
      </c>
      <c r="E653">
        <v>7</v>
      </c>
      <c r="F653">
        <v>6</v>
      </c>
      <c r="G653">
        <v>6</v>
      </c>
      <c r="H653">
        <v>12</v>
      </c>
      <c r="I653">
        <f t="shared" si="94"/>
        <v>32</v>
      </c>
      <c r="J653" t="s">
        <v>55</v>
      </c>
      <c r="L653">
        <v>15</v>
      </c>
      <c r="M653" t="s">
        <v>48</v>
      </c>
      <c r="N653" s="2">
        <v>45803</v>
      </c>
      <c r="T653">
        <f t="shared" si="95"/>
        <v>0</v>
      </c>
      <c r="U653" t="s">
        <v>59</v>
      </c>
    </row>
    <row r="654" spans="1:21">
      <c r="A654">
        <v>17</v>
      </c>
      <c r="B654" t="s">
        <v>49</v>
      </c>
      <c r="C654" s="2">
        <v>45802</v>
      </c>
      <c r="I654">
        <f t="shared" si="94"/>
        <v>0</v>
      </c>
      <c r="J654" t="s">
        <v>59</v>
      </c>
      <c r="L654">
        <v>16</v>
      </c>
      <c r="M654" t="s">
        <v>37</v>
      </c>
      <c r="N654" s="2">
        <v>45803</v>
      </c>
      <c r="O654">
        <v>18</v>
      </c>
      <c r="P654">
        <v>22</v>
      </c>
      <c r="Q654">
        <v>6</v>
      </c>
      <c r="R654">
        <v>5</v>
      </c>
      <c r="S654">
        <v>11</v>
      </c>
      <c r="T654">
        <f t="shared" si="95"/>
        <v>51</v>
      </c>
      <c r="U654" t="s">
        <v>55</v>
      </c>
    </row>
    <row r="655" spans="1:21">
      <c r="A655">
        <v>18</v>
      </c>
      <c r="B655" t="s">
        <v>21</v>
      </c>
      <c r="C655" s="2">
        <v>45802</v>
      </c>
      <c r="D655">
        <v>208</v>
      </c>
      <c r="E655">
        <v>215</v>
      </c>
      <c r="H655">
        <v>0</v>
      </c>
      <c r="I655">
        <f t="shared" si="94"/>
        <v>423</v>
      </c>
      <c r="J655" t="s">
        <v>59</v>
      </c>
      <c r="L655">
        <v>17</v>
      </c>
      <c r="M655" t="s">
        <v>49</v>
      </c>
      <c r="N655" s="2">
        <v>45803</v>
      </c>
      <c r="T655">
        <f t="shared" si="95"/>
        <v>0</v>
      </c>
      <c r="U655" t="s">
        <v>59</v>
      </c>
    </row>
    <row r="656" spans="1:21">
      <c r="A656">
        <v>19</v>
      </c>
      <c r="B656" t="s">
        <v>104</v>
      </c>
      <c r="C656" s="2">
        <v>45802</v>
      </c>
      <c r="I656">
        <f>D656+E656+H656</f>
        <v>0</v>
      </c>
      <c r="L656">
        <v>18</v>
      </c>
      <c r="M656" t="s">
        <v>21</v>
      </c>
      <c r="N656" s="2">
        <v>45803</v>
      </c>
      <c r="O656">
        <v>521</v>
      </c>
      <c r="P656">
        <v>553</v>
      </c>
      <c r="S656">
        <v>0</v>
      </c>
      <c r="T656">
        <f t="shared" si="95"/>
        <v>1074</v>
      </c>
      <c r="U656" t="s">
        <v>59</v>
      </c>
    </row>
    <row r="657" spans="1:21">
      <c r="A657">
        <v>20</v>
      </c>
      <c r="B657" t="s">
        <v>26</v>
      </c>
      <c r="C657" s="2">
        <v>45802</v>
      </c>
      <c r="I657">
        <f t="shared" ref="I657" si="96">D657+E657+H657</f>
        <v>0</v>
      </c>
      <c r="J657" t="s">
        <v>54</v>
      </c>
      <c r="L657">
        <v>19</v>
      </c>
      <c r="M657" t="s">
        <v>104</v>
      </c>
      <c r="N657" s="2">
        <v>45803</v>
      </c>
      <c r="T657">
        <f>O657+P657+S657</f>
        <v>0</v>
      </c>
    </row>
    <row r="658" spans="1:21">
      <c r="B658" t="s">
        <v>8</v>
      </c>
      <c r="D658">
        <f>D638+D639+D640+D641+D642+D643+D645+D644+D646+D647+D648+D649+D650+D651+D653+D655</f>
        <v>619</v>
      </c>
      <c r="E658">
        <f>SUM(E638:E657)</f>
        <v>510</v>
      </c>
      <c r="I658">
        <f>I638+I639+I640+I641+I642+I643+I644+I645+I646+I647+I648+I649+I650+I651+I652+I653+I654+I655+I656+I657</f>
        <v>1282</v>
      </c>
      <c r="L658">
        <v>20</v>
      </c>
      <c r="M658" t="s">
        <v>26</v>
      </c>
      <c r="N658" s="2">
        <v>45803</v>
      </c>
      <c r="T658">
        <f t="shared" ref="T658" si="97">O658+P658+S658</f>
        <v>0</v>
      </c>
      <c r="U658" t="s">
        <v>54</v>
      </c>
    </row>
    <row r="659" spans="1:21">
      <c r="M659" t="s">
        <v>8</v>
      </c>
      <c r="O659">
        <f>O639+O640+O641+O642+O643+O644+O646+O645+O647+O648+O649+O650+O651+O652+O654+O656</f>
        <v>1593</v>
      </c>
      <c r="P659">
        <f>SUM(P639:P658)</f>
        <v>2032</v>
      </c>
      <c r="T659">
        <f>T639+T640+T641+T642+T643+T644+T645+T646+T647+T648+T649+T650+T651+T652+T653+T654+T655+T656+T657+T658</f>
        <v>3954</v>
      </c>
    </row>
    <row r="660" spans="1:21">
      <c r="B660" t="s">
        <v>38</v>
      </c>
      <c r="C660" t="s">
        <v>237</v>
      </c>
    </row>
    <row r="661" spans="1:21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51</v>
      </c>
      <c r="M661" t="s">
        <v>38</v>
      </c>
      <c r="N661" t="s">
        <v>238</v>
      </c>
    </row>
    <row r="662" spans="1:21">
      <c r="A662">
        <v>1</v>
      </c>
      <c r="B662" t="s">
        <v>9</v>
      </c>
      <c r="C662" s="2">
        <v>45804</v>
      </c>
      <c r="D662">
        <v>29</v>
      </c>
      <c r="E662">
        <v>23</v>
      </c>
      <c r="F662">
        <v>5</v>
      </c>
      <c r="G662">
        <v>3</v>
      </c>
      <c r="H662">
        <v>8</v>
      </c>
      <c r="I662">
        <f>D662+E662+H662</f>
        <v>60</v>
      </c>
      <c r="J662" t="s">
        <v>50</v>
      </c>
      <c r="L662" t="s">
        <v>0</v>
      </c>
      <c r="M662" t="s">
        <v>1</v>
      </c>
      <c r="N662" t="s">
        <v>2</v>
      </c>
      <c r="O662" t="s">
        <v>3</v>
      </c>
      <c r="P662" t="s">
        <v>4</v>
      </c>
      <c r="Q662" t="s">
        <v>5</v>
      </c>
      <c r="R662" t="s">
        <v>6</v>
      </c>
      <c r="S662" t="s">
        <v>7</v>
      </c>
      <c r="T662" t="s">
        <v>8</v>
      </c>
      <c r="U662" t="s">
        <v>51</v>
      </c>
    </row>
    <row r="663" spans="1:21">
      <c r="A663">
        <v>2</v>
      </c>
      <c r="B663" t="s">
        <v>11</v>
      </c>
      <c r="C663" s="2">
        <v>45804</v>
      </c>
      <c r="D663">
        <v>13</v>
      </c>
      <c r="E663">
        <v>2</v>
      </c>
      <c r="F663">
        <v>0</v>
      </c>
      <c r="G663">
        <v>0</v>
      </c>
      <c r="H663">
        <v>0</v>
      </c>
      <c r="I663">
        <f>D663+E663+H663</f>
        <v>15</v>
      </c>
      <c r="J663" t="s">
        <v>52</v>
      </c>
      <c r="L663">
        <v>1</v>
      </c>
      <c r="M663" t="s">
        <v>9</v>
      </c>
      <c r="N663" s="2">
        <v>45805</v>
      </c>
      <c r="O663">
        <v>30</v>
      </c>
      <c r="P663">
        <v>18</v>
      </c>
      <c r="Q663">
        <v>3</v>
      </c>
      <c r="R663">
        <v>1</v>
      </c>
      <c r="S663">
        <v>4</v>
      </c>
      <c r="T663">
        <f>O663+P663+S663</f>
        <v>52</v>
      </c>
      <c r="U663" t="s">
        <v>50</v>
      </c>
    </row>
    <row r="664" spans="1:21">
      <c r="A664">
        <v>3</v>
      </c>
      <c r="B664" t="s">
        <v>12</v>
      </c>
      <c r="C664" s="2">
        <v>45804</v>
      </c>
      <c r="D664">
        <v>30</v>
      </c>
      <c r="E664">
        <v>33</v>
      </c>
      <c r="H664">
        <v>0</v>
      </c>
      <c r="I664">
        <f>SUM(D664,E664,H664)</f>
        <v>63</v>
      </c>
      <c r="J664" t="s">
        <v>53</v>
      </c>
      <c r="L664">
        <v>2</v>
      </c>
      <c r="M664" t="s">
        <v>11</v>
      </c>
      <c r="N664" s="2">
        <v>45805</v>
      </c>
      <c r="O664">
        <v>12</v>
      </c>
      <c r="P664">
        <v>11</v>
      </c>
      <c r="Q664">
        <v>2</v>
      </c>
      <c r="R664">
        <v>1</v>
      </c>
      <c r="S664">
        <v>3</v>
      </c>
      <c r="T664">
        <f>O664+P664+S664</f>
        <v>26</v>
      </c>
      <c r="U664" t="s">
        <v>52</v>
      </c>
    </row>
    <row r="665" spans="1:21">
      <c r="A665">
        <v>4</v>
      </c>
      <c r="B665" t="s">
        <v>13</v>
      </c>
      <c r="C665" s="2">
        <v>45804</v>
      </c>
      <c r="D665">
        <v>20</v>
      </c>
      <c r="E665">
        <v>13</v>
      </c>
      <c r="H665">
        <v>3</v>
      </c>
      <c r="I665">
        <f t="shared" ref="I665:I679" si="98">D665+E665+H665</f>
        <v>36</v>
      </c>
      <c r="J665" t="s">
        <v>52</v>
      </c>
      <c r="L665">
        <v>3</v>
      </c>
      <c r="M665" t="s">
        <v>12</v>
      </c>
      <c r="N665" s="2">
        <v>45805</v>
      </c>
      <c r="O665">
        <v>40</v>
      </c>
      <c r="P665">
        <v>29</v>
      </c>
      <c r="S665">
        <v>0</v>
      </c>
      <c r="T665">
        <f>SUM(O665,P665,S665)</f>
        <v>69</v>
      </c>
      <c r="U665" t="s">
        <v>53</v>
      </c>
    </row>
    <row r="666" spans="1:21">
      <c r="A666">
        <v>5</v>
      </c>
      <c r="B666" t="s">
        <v>14</v>
      </c>
      <c r="C666" s="2">
        <v>45804</v>
      </c>
      <c r="D666">
        <v>129</v>
      </c>
      <c r="E666">
        <v>284</v>
      </c>
      <c r="H666">
        <v>73</v>
      </c>
      <c r="I666">
        <f t="shared" si="98"/>
        <v>486</v>
      </c>
      <c r="J666" t="s">
        <v>54</v>
      </c>
      <c r="L666">
        <v>4</v>
      </c>
      <c r="M666" t="s">
        <v>13</v>
      </c>
      <c r="N666" s="2">
        <v>45805</v>
      </c>
      <c r="O666">
        <v>33</v>
      </c>
      <c r="P666">
        <v>6</v>
      </c>
      <c r="S666">
        <v>1</v>
      </c>
      <c r="T666">
        <f t="shared" ref="T666:T680" si="99">O666+P666+S666</f>
        <v>40</v>
      </c>
      <c r="U666" t="s">
        <v>52</v>
      </c>
    </row>
    <row r="667" spans="1:21">
      <c r="A667">
        <v>6</v>
      </c>
      <c r="B667" t="s">
        <v>15</v>
      </c>
      <c r="C667" s="2">
        <v>45804</v>
      </c>
      <c r="D667">
        <v>93</v>
      </c>
      <c r="E667">
        <v>57</v>
      </c>
      <c r="H667">
        <v>0</v>
      </c>
      <c r="I667">
        <f t="shared" si="98"/>
        <v>150</v>
      </c>
      <c r="J667" t="s">
        <v>55</v>
      </c>
      <c r="L667">
        <v>5</v>
      </c>
      <c r="M667" t="s">
        <v>14</v>
      </c>
      <c r="N667" s="2">
        <v>45805</v>
      </c>
      <c r="O667">
        <v>237</v>
      </c>
      <c r="P667">
        <v>432</v>
      </c>
      <c r="S667">
        <v>98</v>
      </c>
      <c r="T667">
        <f t="shared" si="99"/>
        <v>767</v>
      </c>
      <c r="U667" t="s">
        <v>54</v>
      </c>
    </row>
    <row r="668" spans="1:21">
      <c r="A668">
        <v>7</v>
      </c>
      <c r="B668" t="s">
        <v>16</v>
      </c>
      <c r="C668" s="2">
        <v>45804</v>
      </c>
      <c r="I668">
        <f t="shared" si="98"/>
        <v>0</v>
      </c>
      <c r="J668" t="s">
        <v>52</v>
      </c>
      <c r="L668">
        <v>6</v>
      </c>
      <c r="M668" t="s">
        <v>15</v>
      </c>
      <c r="N668" s="2">
        <v>45805</v>
      </c>
      <c r="O668">
        <v>103</v>
      </c>
      <c r="P668">
        <v>60</v>
      </c>
      <c r="S668">
        <v>0</v>
      </c>
      <c r="T668">
        <f t="shared" si="99"/>
        <v>163</v>
      </c>
      <c r="U668" t="s">
        <v>55</v>
      </c>
    </row>
    <row r="669" spans="1:21">
      <c r="A669">
        <v>8</v>
      </c>
      <c r="B669" t="s">
        <v>17</v>
      </c>
      <c r="C669" s="2">
        <v>45804</v>
      </c>
      <c r="D669">
        <v>20</v>
      </c>
      <c r="E669">
        <v>10</v>
      </c>
      <c r="H669">
        <v>1</v>
      </c>
      <c r="I669">
        <f t="shared" si="98"/>
        <v>31</v>
      </c>
      <c r="J669" t="s">
        <v>50</v>
      </c>
      <c r="L669">
        <v>7</v>
      </c>
      <c r="M669" t="s">
        <v>16</v>
      </c>
      <c r="N669" s="2">
        <v>45805</v>
      </c>
      <c r="O669">
        <v>40</v>
      </c>
      <c r="P669">
        <v>60</v>
      </c>
      <c r="S669">
        <v>0</v>
      </c>
      <c r="T669">
        <f t="shared" si="99"/>
        <v>100</v>
      </c>
      <c r="U669" t="s">
        <v>52</v>
      </c>
    </row>
    <row r="670" spans="1:21">
      <c r="A670">
        <v>9</v>
      </c>
      <c r="B670" t="s">
        <v>18</v>
      </c>
      <c r="C670" s="2">
        <v>45804</v>
      </c>
      <c r="I670">
        <f t="shared" si="98"/>
        <v>0</v>
      </c>
      <c r="J670" t="s">
        <v>56</v>
      </c>
      <c r="L670">
        <v>8</v>
      </c>
      <c r="M670" t="s">
        <v>17</v>
      </c>
      <c r="N670" s="2">
        <v>45805</v>
      </c>
      <c r="O670">
        <v>159</v>
      </c>
      <c r="P670">
        <v>128</v>
      </c>
      <c r="Q670">
        <v>31</v>
      </c>
      <c r="R670">
        <v>32</v>
      </c>
      <c r="S670">
        <v>49</v>
      </c>
      <c r="T670">
        <f t="shared" si="99"/>
        <v>336</v>
      </c>
      <c r="U670" t="s">
        <v>50</v>
      </c>
    </row>
    <row r="671" spans="1:21">
      <c r="A671">
        <v>10</v>
      </c>
      <c r="B671" t="s">
        <v>19</v>
      </c>
      <c r="C671" s="2">
        <v>45804</v>
      </c>
      <c r="I671">
        <f t="shared" si="98"/>
        <v>0</v>
      </c>
      <c r="J671" t="s">
        <v>53</v>
      </c>
      <c r="L671">
        <v>9</v>
      </c>
      <c r="M671" t="s">
        <v>18</v>
      </c>
      <c r="N671" s="2">
        <v>45805</v>
      </c>
      <c r="O671">
        <v>58</v>
      </c>
      <c r="P671">
        <v>25</v>
      </c>
      <c r="S671">
        <v>14</v>
      </c>
      <c r="T671">
        <f t="shared" si="99"/>
        <v>97</v>
      </c>
      <c r="U671" t="s">
        <v>56</v>
      </c>
    </row>
    <row r="672" spans="1:21">
      <c r="A672">
        <v>11</v>
      </c>
      <c r="B672" t="s">
        <v>25</v>
      </c>
      <c r="C672" s="2">
        <v>45804</v>
      </c>
      <c r="D672">
        <v>10</v>
      </c>
      <c r="E672">
        <v>2</v>
      </c>
      <c r="H672">
        <v>0</v>
      </c>
      <c r="I672">
        <f t="shared" si="98"/>
        <v>12</v>
      </c>
      <c r="J672" t="s">
        <v>54</v>
      </c>
      <c r="L672">
        <v>10</v>
      </c>
      <c r="M672" t="s">
        <v>19</v>
      </c>
      <c r="N672" s="2">
        <v>45805</v>
      </c>
      <c r="O672">
        <v>141</v>
      </c>
      <c r="P672">
        <v>92</v>
      </c>
      <c r="S672">
        <v>34</v>
      </c>
      <c r="T672">
        <f t="shared" si="99"/>
        <v>267</v>
      </c>
      <c r="U672" t="s">
        <v>53</v>
      </c>
    </row>
    <row r="673" spans="1:21">
      <c r="A673">
        <v>12</v>
      </c>
      <c r="B673" t="s">
        <v>27</v>
      </c>
      <c r="C673" s="2">
        <v>45804</v>
      </c>
      <c r="I673">
        <f t="shared" si="98"/>
        <v>0</v>
      </c>
      <c r="J673" t="s">
        <v>56</v>
      </c>
      <c r="L673">
        <v>11</v>
      </c>
      <c r="M673" t="s">
        <v>25</v>
      </c>
      <c r="N673" s="2">
        <v>45805</v>
      </c>
      <c r="O673">
        <v>5</v>
      </c>
      <c r="P673">
        <v>3</v>
      </c>
      <c r="Q673">
        <v>0</v>
      </c>
      <c r="R673">
        <v>0</v>
      </c>
      <c r="S673">
        <v>0</v>
      </c>
      <c r="T673">
        <f t="shared" si="99"/>
        <v>8</v>
      </c>
      <c r="U673" t="s">
        <v>54</v>
      </c>
    </row>
    <row r="674" spans="1:21">
      <c r="A674">
        <v>13</v>
      </c>
      <c r="B674" t="s">
        <v>20</v>
      </c>
      <c r="C674" s="2">
        <v>45804</v>
      </c>
      <c r="D674">
        <v>107</v>
      </c>
      <c r="E674">
        <v>95</v>
      </c>
      <c r="F674">
        <v>7</v>
      </c>
      <c r="G674">
        <v>5</v>
      </c>
      <c r="H674">
        <v>12</v>
      </c>
      <c r="I674">
        <f t="shared" si="98"/>
        <v>214</v>
      </c>
      <c r="J674" t="s">
        <v>57</v>
      </c>
      <c r="L674">
        <v>12</v>
      </c>
      <c r="M674" t="s">
        <v>27</v>
      </c>
      <c r="N674" s="2">
        <v>45805</v>
      </c>
      <c r="T674">
        <f t="shared" si="99"/>
        <v>0</v>
      </c>
      <c r="U674" t="s">
        <v>56</v>
      </c>
    </row>
    <row r="675" spans="1:21">
      <c r="A675">
        <v>14</v>
      </c>
      <c r="B675" t="s">
        <v>32</v>
      </c>
      <c r="C675" s="2">
        <v>45804</v>
      </c>
      <c r="D675">
        <v>25</v>
      </c>
      <c r="E675">
        <v>36</v>
      </c>
      <c r="F675">
        <v>5</v>
      </c>
      <c r="G675">
        <v>2</v>
      </c>
      <c r="H675">
        <v>7</v>
      </c>
      <c r="I675">
        <f t="shared" si="98"/>
        <v>68</v>
      </c>
      <c r="J675" t="s">
        <v>50</v>
      </c>
      <c r="L675">
        <v>13</v>
      </c>
      <c r="M675" t="s">
        <v>20</v>
      </c>
      <c r="N675" s="2">
        <v>45805</v>
      </c>
      <c r="O675">
        <v>91</v>
      </c>
      <c r="P675">
        <v>76</v>
      </c>
      <c r="Q675">
        <v>11</v>
      </c>
      <c r="R675">
        <v>7</v>
      </c>
      <c r="S675">
        <v>18</v>
      </c>
      <c r="T675">
        <f t="shared" si="99"/>
        <v>185</v>
      </c>
      <c r="U675" t="s">
        <v>57</v>
      </c>
    </row>
    <row r="676" spans="1:21">
      <c r="A676">
        <v>15</v>
      </c>
      <c r="B676" t="s">
        <v>48</v>
      </c>
      <c r="C676" s="2">
        <v>45804</v>
      </c>
      <c r="I676">
        <f t="shared" si="98"/>
        <v>0</v>
      </c>
      <c r="J676" t="s">
        <v>59</v>
      </c>
      <c r="L676">
        <v>14</v>
      </c>
      <c r="M676" t="s">
        <v>32</v>
      </c>
      <c r="N676" s="2">
        <v>45805</v>
      </c>
      <c r="T676">
        <f t="shared" si="99"/>
        <v>0</v>
      </c>
      <c r="U676" t="s">
        <v>50</v>
      </c>
    </row>
    <row r="677" spans="1:21">
      <c r="A677">
        <v>16</v>
      </c>
      <c r="B677" t="s">
        <v>37</v>
      </c>
      <c r="C677" s="2">
        <v>45804</v>
      </c>
      <c r="I677">
        <f t="shared" si="98"/>
        <v>0</v>
      </c>
      <c r="J677" t="s">
        <v>55</v>
      </c>
      <c r="L677">
        <v>15</v>
      </c>
      <c r="M677" t="s">
        <v>48</v>
      </c>
      <c r="N677" s="2">
        <v>45805</v>
      </c>
      <c r="T677">
        <f t="shared" si="99"/>
        <v>0</v>
      </c>
      <c r="U677" t="s">
        <v>59</v>
      </c>
    </row>
    <row r="678" spans="1:21">
      <c r="A678">
        <v>17</v>
      </c>
      <c r="B678" t="s">
        <v>49</v>
      </c>
      <c r="C678" s="2">
        <v>45804</v>
      </c>
      <c r="I678">
        <f t="shared" si="98"/>
        <v>0</v>
      </c>
      <c r="J678" t="s">
        <v>59</v>
      </c>
      <c r="L678">
        <v>16</v>
      </c>
      <c r="M678" t="s">
        <v>37</v>
      </c>
      <c r="N678" s="2">
        <v>45805</v>
      </c>
      <c r="O678">
        <v>8</v>
      </c>
      <c r="P678">
        <v>11</v>
      </c>
      <c r="Q678">
        <v>5</v>
      </c>
      <c r="R678">
        <v>3</v>
      </c>
      <c r="S678">
        <v>8</v>
      </c>
      <c r="T678">
        <f t="shared" si="99"/>
        <v>27</v>
      </c>
      <c r="U678" t="s">
        <v>55</v>
      </c>
    </row>
    <row r="679" spans="1:21">
      <c r="A679">
        <v>18</v>
      </c>
      <c r="B679" t="s">
        <v>21</v>
      </c>
      <c r="C679" s="2">
        <v>45804</v>
      </c>
      <c r="D679">
        <v>322</v>
      </c>
      <c r="E679">
        <v>371</v>
      </c>
      <c r="H679">
        <v>0</v>
      </c>
      <c r="I679">
        <f t="shared" si="98"/>
        <v>693</v>
      </c>
      <c r="J679" t="s">
        <v>59</v>
      </c>
      <c r="L679">
        <v>17</v>
      </c>
      <c r="M679" t="s">
        <v>49</v>
      </c>
      <c r="N679" s="2">
        <v>45805</v>
      </c>
      <c r="T679">
        <f t="shared" si="99"/>
        <v>0</v>
      </c>
      <c r="U679" t="s">
        <v>59</v>
      </c>
    </row>
    <row r="680" spans="1:21">
      <c r="A680">
        <v>19</v>
      </c>
      <c r="B680" t="s">
        <v>104</v>
      </c>
      <c r="C680" s="2">
        <v>45804</v>
      </c>
      <c r="I680">
        <f>D680+E680+H680</f>
        <v>0</v>
      </c>
      <c r="L680">
        <v>18</v>
      </c>
      <c r="M680" t="s">
        <v>21</v>
      </c>
      <c r="N680" s="2">
        <v>45805</v>
      </c>
      <c r="T680">
        <f t="shared" si="99"/>
        <v>0</v>
      </c>
      <c r="U680" t="s">
        <v>59</v>
      </c>
    </row>
    <row r="681" spans="1:21">
      <c r="A681">
        <v>20</v>
      </c>
      <c r="B681" t="s">
        <v>26</v>
      </c>
      <c r="C681" s="2">
        <v>45804</v>
      </c>
      <c r="I681">
        <f t="shared" ref="I681" si="100">D681+E681+H681</f>
        <v>0</v>
      </c>
      <c r="J681" t="s">
        <v>54</v>
      </c>
      <c r="L681">
        <v>19</v>
      </c>
      <c r="M681" t="s">
        <v>104</v>
      </c>
      <c r="N681" s="2">
        <v>45805</v>
      </c>
      <c r="T681">
        <f>O681+P681+S681</f>
        <v>0</v>
      </c>
    </row>
    <row r="682" spans="1:21">
      <c r="B682" t="s">
        <v>8</v>
      </c>
      <c r="D682">
        <f>D662+D663+D664+D665+D666+D667+D669+D668+D670+D671+D672+D673+D674+D675+D677+D679</f>
        <v>798</v>
      </c>
      <c r="E682">
        <f>SUM(E662:E681)</f>
        <v>926</v>
      </c>
      <c r="I682">
        <f>I662+I663+I664+I665+I666+I667+I668+I669+I670+I671+I672+I673+I674+I675+I676+I677+I678+I679+I680+I681</f>
        <v>1828</v>
      </c>
      <c r="L682">
        <v>20</v>
      </c>
      <c r="M682" t="s">
        <v>26</v>
      </c>
      <c r="N682" s="2">
        <v>45805</v>
      </c>
      <c r="T682">
        <f t="shared" ref="T682" si="101">O682+P682+S682</f>
        <v>0</v>
      </c>
      <c r="U682" t="s">
        <v>54</v>
      </c>
    </row>
    <row r="683" spans="1:21">
      <c r="M683" t="s">
        <v>8</v>
      </c>
      <c r="O683">
        <f>O663+O664+O665+O666+O667+O668+O670+O669+O671+O672+O673+O674+O675+O676+O678+O680</f>
        <v>957</v>
      </c>
      <c r="P683">
        <f>SUM(P663:P682)</f>
        <v>951</v>
      </c>
      <c r="T683">
        <f>T663+T664+T665+T666+T667+T668+T669+T670+T671+T672+T673+T674+T675+T676+T677+T678+T679+T680+T681+T682</f>
        <v>2137</v>
      </c>
    </row>
    <row r="685" spans="1:21">
      <c r="B685" t="s">
        <v>38</v>
      </c>
      <c r="C685" t="s">
        <v>239</v>
      </c>
      <c r="M685" t="s">
        <v>38</v>
      </c>
      <c r="N685" t="s">
        <v>240</v>
      </c>
    </row>
    <row r="686" spans="1:21">
      <c r="A686" t="s">
        <v>0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t="s">
        <v>7</v>
      </c>
      <c r="I686" t="s">
        <v>8</v>
      </c>
      <c r="J686" t="s">
        <v>51</v>
      </c>
      <c r="L686" t="s">
        <v>0</v>
      </c>
      <c r="M686" t="s">
        <v>1</v>
      </c>
      <c r="N686" t="s">
        <v>2</v>
      </c>
      <c r="O686" t="s">
        <v>3</v>
      </c>
      <c r="P686" t="s">
        <v>4</v>
      </c>
      <c r="Q686" t="s">
        <v>5</v>
      </c>
      <c r="R686" t="s">
        <v>6</v>
      </c>
      <c r="S686" t="s">
        <v>7</v>
      </c>
      <c r="T686" t="s">
        <v>8</v>
      </c>
      <c r="U686" t="s">
        <v>51</v>
      </c>
    </row>
    <row r="687" spans="1:21">
      <c r="A687">
        <v>1</v>
      </c>
      <c r="B687" t="s">
        <v>9</v>
      </c>
      <c r="C687" s="2">
        <v>45806</v>
      </c>
      <c r="D687">
        <v>25</v>
      </c>
      <c r="E687">
        <v>16</v>
      </c>
      <c r="F687">
        <v>3</v>
      </c>
      <c r="G687">
        <v>1</v>
      </c>
      <c r="H687">
        <v>4</v>
      </c>
      <c r="I687">
        <f>D687+E687+H687</f>
        <v>45</v>
      </c>
      <c r="J687" t="s">
        <v>50</v>
      </c>
      <c r="L687">
        <v>1</v>
      </c>
      <c r="M687" t="s">
        <v>9</v>
      </c>
      <c r="N687" s="2">
        <v>45807</v>
      </c>
      <c r="O687">
        <v>35</v>
      </c>
      <c r="P687">
        <v>40</v>
      </c>
      <c r="Q687">
        <v>6</v>
      </c>
      <c r="R687">
        <v>3</v>
      </c>
      <c r="S687">
        <v>9</v>
      </c>
      <c r="T687">
        <f>O687+P687+S687</f>
        <v>84</v>
      </c>
      <c r="U687" t="s">
        <v>50</v>
      </c>
    </row>
    <row r="688" spans="1:21">
      <c r="A688">
        <v>2</v>
      </c>
      <c r="B688" t="s">
        <v>11</v>
      </c>
      <c r="C688" s="2">
        <v>45806</v>
      </c>
      <c r="D688">
        <v>15</v>
      </c>
      <c r="E688">
        <v>3</v>
      </c>
      <c r="H688">
        <v>0</v>
      </c>
      <c r="I688">
        <f>D688+E688+H688</f>
        <v>18</v>
      </c>
      <c r="J688" t="s">
        <v>52</v>
      </c>
      <c r="L688">
        <v>2</v>
      </c>
      <c r="M688" t="s">
        <v>11</v>
      </c>
      <c r="N688" s="2">
        <v>45807</v>
      </c>
      <c r="O688">
        <v>17</v>
      </c>
      <c r="P688">
        <v>3</v>
      </c>
      <c r="S688">
        <v>0</v>
      </c>
      <c r="T688">
        <f>O688+P688+S688</f>
        <v>20</v>
      </c>
      <c r="U688" t="s">
        <v>52</v>
      </c>
    </row>
    <row r="689" spans="1:21">
      <c r="A689">
        <v>3</v>
      </c>
      <c r="B689" t="s">
        <v>12</v>
      </c>
      <c r="C689" s="2">
        <v>45806</v>
      </c>
      <c r="D689">
        <v>47</v>
      </c>
      <c r="E689">
        <v>33</v>
      </c>
      <c r="H689">
        <v>0</v>
      </c>
      <c r="I689">
        <f>SUM(D689,E689,H689)</f>
        <v>80</v>
      </c>
      <c r="J689" t="s">
        <v>53</v>
      </c>
      <c r="L689">
        <v>3</v>
      </c>
      <c r="M689" t="s">
        <v>12</v>
      </c>
      <c r="N689" s="2">
        <v>45807</v>
      </c>
      <c r="O689">
        <v>33</v>
      </c>
      <c r="P689">
        <v>35</v>
      </c>
      <c r="S689">
        <v>0</v>
      </c>
      <c r="T689">
        <f>SUM(O689,P689,S689)</f>
        <v>68</v>
      </c>
      <c r="U689" t="s">
        <v>53</v>
      </c>
    </row>
    <row r="690" spans="1:21">
      <c r="A690">
        <v>4</v>
      </c>
      <c r="B690" t="s">
        <v>13</v>
      </c>
      <c r="C690" s="2">
        <v>45806</v>
      </c>
      <c r="D690">
        <v>22</v>
      </c>
      <c r="E690">
        <v>10</v>
      </c>
      <c r="H690">
        <v>2</v>
      </c>
      <c r="I690">
        <f t="shared" ref="I690:I704" si="102">D690+E690+H690</f>
        <v>34</v>
      </c>
      <c r="J690" t="s">
        <v>52</v>
      </c>
      <c r="L690">
        <v>4</v>
      </c>
      <c r="M690" t="s">
        <v>13</v>
      </c>
      <c r="N690" s="2">
        <v>45807</v>
      </c>
      <c r="O690">
        <v>15</v>
      </c>
      <c r="P690">
        <v>8</v>
      </c>
      <c r="S690">
        <v>3</v>
      </c>
      <c r="T690">
        <f t="shared" ref="T690:T704" si="103">O690+P690+S690</f>
        <v>26</v>
      </c>
      <c r="U690" t="s">
        <v>52</v>
      </c>
    </row>
    <row r="691" spans="1:21">
      <c r="A691">
        <v>5</v>
      </c>
      <c r="B691" t="s">
        <v>14</v>
      </c>
      <c r="C691" s="2">
        <v>45806</v>
      </c>
      <c r="D691">
        <v>163</v>
      </c>
      <c r="E691">
        <v>322</v>
      </c>
      <c r="H691">
        <v>61</v>
      </c>
      <c r="I691">
        <f t="shared" si="102"/>
        <v>546</v>
      </c>
      <c r="J691" t="s">
        <v>54</v>
      </c>
      <c r="L691">
        <v>5</v>
      </c>
      <c r="M691" t="s">
        <v>14</v>
      </c>
      <c r="N691" s="2">
        <v>45807</v>
      </c>
      <c r="O691">
        <v>303</v>
      </c>
      <c r="P691">
        <v>240</v>
      </c>
      <c r="S691">
        <v>72</v>
      </c>
      <c r="T691">
        <f t="shared" si="103"/>
        <v>615</v>
      </c>
      <c r="U691" t="s">
        <v>54</v>
      </c>
    </row>
    <row r="692" spans="1:21">
      <c r="A692">
        <v>6</v>
      </c>
      <c r="B692" t="s">
        <v>15</v>
      </c>
      <c r="C692" s="2">
        <v>45806</v>
      </c>
      <c r="I692">
        <f t="shared" si="102"/>
        <v>0</v>
      </c>
      <c r="J692" t="s">
        <v>55</v>
      </c>
      <c r="L692">
        <v>6</v>
      </c>
      <c r="M692" t="s">
        <v>15</v>
      </c>
      <c r="N692" s="2">
        <v>45807</v>
      </c>
      <c r="O692">
        <v>79</v>
      </c>
      <c r="P692">
        <v>65</v>
      </c>
      <c r="S692">
        <v>0</v>
      </c>
      <c r="T692">
        <f t="shared" si="103"/>
        <v>144</v>
      </c>
      <c r="U692" t="s">
        <v>55</v>
      </c>
    </row>
    <row r="693" spans="1:21">
      <c r="A693">
        <v>7</v>
      </c>
      <c r="B693" t="s">
        <v>16</v>
      </c>
      <c r="C693" s="2">
        <v>45806</v>
      </c>
      <c r="I693">
        <f t="shared" si="102"/>
        <v>0</v>
      </c>
      <c r="J693" t="s">
        <v>52</v>
      </c>
      <c r="L693">
        <v>7</v>
      </c>
      <c r="M693" t="s">
        <v>16</v>
      </c>
      <c r="N693" s="2">
        <v>45807</v>
      </c>
      <c r="T693">
        <f t="shared" si="103"/>
        <v>0</v>
      </c>
      <c r="U693" t="s">
        <v>52</v>
      </c>
    </row>
    <row r="694" spans="1:21">
      <c r="A694">
        <v>8</v>
      </c>
      <c r="B694" t="s">
        <v>17</v>
      </c>
      <c r="C694" s="2">
        <v>45806</v>
      </c>
      <c r="I694">
        <f t="shared" si="102"/>
        <v>0</v>
      </c>
      <c r="J694" t="s">
        <v>50</v>
      </c>
      <c r="L694">
        <v>8</v>
      </c>
      <c r="M694" t="s">
        <v>17</v>
      </c>
      <c r="N694" s="2">
        <v>45807</v>
      </c>
      <c r="O694">
        <v>134</v>
      </c>
      <c r="P694">
        <v>148</v>
      </c>
      <c r="Q694">
        <v>14</v>
      </c>
      <c r="R694">
        <v>20</v>
      </c>
      <c r="S694">
        <v>0</v>
      </c>
      <c r="T694">
        <f t="shared" si="103"/>
        <v>282</v>
      </c>
      <c r="U694" t="s">
        <v>50</v>
      </c>
    </row>
    <row r="695" spans="1:21">
      <c r="A695">
        <v>9</v>
      </c>
      <c r="B695" t="s">
        <v>18</v>
      </c>
      <c r="C695" s="2">
        <v>45806</v>
      </c>
      <c r="D695">
        <v>125</v>
      </c>
      <c r="E695">
        <v>86</v>
      </c>
      <c r="H695">
        <v>27</v>
      </c>
      <c r="I695">
        <f t="shared" si="102"/>
        <v>238</v>
      </c>
      <c r="J695" t="s">
        <v>56</v>
      </c>
      <c r="L695">
        <v>9</v>
      </c>
      <c r="M695" t="s">
        <v>18</v>
      </c>
      <c r="N695" s="2">
        <v>45807</v>
      </c>
      <c r="O695">
        <v>55</v>
      </c>
      <c r="P695">
        <v>9</v>
      </c>
      <c r="S695">
        <v>6</v>
      </c>
      <c r="T695">
        <f t="shared" si="103"/>
        <v>70</v>
      </c>
      <c r="U695" t="s">
        <v>56</v>
      </c>
    </row>
    <row r="696" spans="1:21">
      <c r="A696">
        <v>10</v>
      </c>
      <c r="B696" t="s">
        <v>19</v>
      </c>
      <c r="C696" s="2">
        <v>45806</v>
      </c>
      <c r="D696">
        <v>129</v>
      </c>
      <c r="E696">
        <v>84</v>
      </c>
      <c r="H696">
        <v>27</v>
      </c>
      <c r="I696">
        <f t="shared" si="102"/>
        <v>240</v>
      </c>
      <c r="J696" t="s">
        <v>53</v>
      </c>
      <c r="L696">
        <v>10</v>
      </c>
      <c r="M696" t="s">
        <v>19</v>
      </c>
      <c r="N696" s="2">
        <v>45807</v>
      </c>
      <c r="O696">
        <v>120</v>
      </c>
      <c r="P696">
        <v>63</v>
      </c>
      <c r="S696">
        <v>36</v>
      </c>
      <c r="T696">
        <f t="shared" si="103"/>
        <v>219</v>
      </c>
      <c r="U696" t="s">
        <v>53</v>
      </c>
    </row>
    <row r="697" spans="1:21">
      <c r="A697">
        <v>11</v>
      </c>
      <c r="B697" t="s">
        <v>25</v>
      </c>
      <c r="C697" s="2">
        <v>45806</v>
      </c>
      <c r="D697">
        <v>9</v>
      </c>
      <c r="E697">
        <v>0</v>
      </c>
      <c r="H697">
        <v>0</v>
      </c>
      <c r="I697">
        <f t="shared" si="102"/>
        <v>9</v>
      </c>
      <c r="J697" t="s">
        <v>54</v>
      </c>
      <c r="L697">
        <v>11</v>
      </c>
      <c r="M697" t="s">
        <v>25</v>
      </c>
      <c r="N697" s="2">
        <v>45807</v>
      </c>
      <c r="T697">
        <f t="shared" si="103"/>
        <v>0</v>
      </c>
      <c r="U697" t="s">
        <v>54</v>
      </c>
    </row>
    <row r="698" spans="1:21">
      <c r="A698">
        <v>12</v>
      </c>
      <c r="B698" t="s">
        <v>27</v>
      </c>
      <c r="C698" s="2">
        <v>45806</v>
      </c>
      <c r="I698">
        <f t="shared" si="102"/>
        <v>0</v>
      </c>
      <c r="J698" t="s">
        <v>56</v>
      </c>
      <c r="L698">
        <v>12</v>
      </c>
      <c r="M698" t="s">
        <v>27</v>
      </c>
      <c r="N698" s="2">
        <v>45807</v>
      </c>
      <c r="O698">
        <v>172</v>
      </c>
      <c r="P698">
        <v>174</v>
      </c>
      <c r="Q698">
        <v>17</v>
      </c>
      <c r="R698">
        <v>14</v>
      </c>
      <c r="S698">
        <v>31</v>
      </c>
      <c r="T698">
        <f t="shared" si="103"/>
        <v>377</v>
      </c>
      <c r="U698" t="s">
        <v>56</v>
      </c>
    </row>
    <row r="699" spans="1:21">
      <c r="A699">
        <v>13</v>
      </c>
      <c r="B699" t="s">
        <v>20</v>
      </c>
      <c r="C699" s="2">
        <v>45806</v>
      </c>
      <c r="D699">
        <v>107</v>
      </c>
      <c r="E699">
        <v>69</v>
      </c>
      <c r="F699">
        <v>5</v>
      </c>
      <c r="G699">
        <v>7</v>
      </c>
      <c r="H699">
        <v>12</v>
      </c>
      <c r="I699">
        <f t="shared" si="102"/>
        <v>188</v>
      </c>
      <c r="J699" t="s">
        <v>57</v>
      </c>
      <c r="L699">
        <v>13</v>
      </c>
      <c r="M699" t="s">
        <v>20</v>
      </c>
      <c r="N699" s="2">
        <v>45807</v>
      </c>
      <c r="O699">
        <v>87</v>
      </c>
      <c r="P699">
        <v>79</v>
      </c>
      <c r="Q699">
        <v>9</v>
      </c>
      <c r="R699">
        <v>8</v>
      </c>
      <c r="S699">
        <v>17</v>
      </c>
      <c r="T699">
        <f t="shared" si="103"/>
        <v>183</v>
      </c>
      <c r="U699" t="s">
        <v>57</v>
      </c>
    </row>
    <row r="700" spans="1:21">
      <c r="A700">
        <v>14</v>
      </c>
      <c r="B700" t="s">
        <v>32</v>
      </c>
      <c r="C700" s="2">
        <v>45806</v>
      </c>
      <c r="D700">
        <v>51</v>
      </c>
      <c r="E700">
        <v>126</v>
      </c>
      <c r="F700">
        <v>7</v>
      </c>
      <c r="G700">
        <v>9</v>
      </c>
      <c r="H700">
        <v>16</v>
      </c>
      <c r="I700">
        <f t="shared" si="102"/>
        <v>193</v>
      </c>
      <c r="J700" t="s">
        <v>50</v>
      </c>
      <c r="L700">
        <v>14</v>
      </c>
      <c r="M700" t="s">
        <v>32</v>
      </c>
      <c r="N700" s="2">
        <v>45807</v>
      </c>
      <c r="O700">
        <v>19</v>
      </c>
      <c r="P700">
        <v>38</v>
      </c>
      <c r="Q700">
        <v>0</v>
      </c>
      <c r="R700">
        <v>1</v>
      </c>
      <c r="S700">
        <v>1</v>
      </c>
      <c r="T700">
        <f t="shared" si="103"/>
        <v>58</v>
      </c>
      <c r="U700" t="s">
        <v>50</v>
      </c>
    </row>
    <row r="701" spans="1:21">
      <c r="A701">
        <v>15</v>
      </c>
      <c r="B701" t="s">
        <v>48</v>
      </c>
      <c r="C701" s="2">
        <v>45806</v>
      </c>
      <c r="I701">
        <f t="shared" si="102"/>
        <v>0</v>
      </c>
      <c r="J701" t="s">
        <v>59</v>
      </c>
      <c r="L701">
        <v>15</v>
      </c>
      <c r="M701" t="s">
        <v>48</v>
      </c>
      <c r="N701" s="2">
        <v>45807</v>
      </c>
      <c r="T701">
        <f t="shared" si="103"/>
        <v>0</v>
      </c>
      <c r="U701" t="s">
        <v>59</v>
      </c>
    </row>
    <row r="702" spans="1:21">
      <c r="A702">
        <v>16</v>
      </c>
      <c r="B702" t="s">
        <v>37</v>
      </c>
      <c r="C702" s="2">
        <v>45806</v>
      </c>
      <c r="D702">
        <v>9</v>
      </c>
      <c r="E702">
        <v>20</v>
      </c>
      <c r="F702">
        <v>0</v>
      </c>
      <c r="G702">
        <v>1</v>
      </c>
      <c r="H702">
        <v>1</v>
      </c>
      <c r="I702">
        <f t="shared" si="102"/>
        <v>30</v>
      </c>
      <c r="J702" t="s">
        <v>55</v>
      </c>
      <c r="L702">
        <v>16</v>
      </c>
      <c r="M702" t="s">
        <v>37</v>
      </c>
      <c r="N702" s="2">
        <v>45807</v>
      </c>
      <c r="T702">
        <f t="shared" si="103"/>
        <v>0</v>
      </c>
      <c r="U702" t="s">
        <v>55</v>
      </c>
    </row>
    <row r="703" spans="1:21">
      <c r="A703">
        <v>17</v>
      </c>
      <c r="B703" t="s">
        <v>49</v>
      </c>
      <c r="C703" s="2">
        <v>45806</v>
      </c>
      <c r="I703">
        <f t="shared" si="102"/>
        <v>0</v>
      </c>
      <c r="J703" t="s">
        <v>59</v>
      </c>
      <c r="L703">
        <v>17</v>
      </c>
      <c r="M703" t="s">
        <v>49</v>
      </c>
      <c r="N703" s="2">
        <v>45807</v>
      </c>
      <c r="T703">
        <f t="shared" si="103"/>
        <v>0</v>
      </c>
      <c r="U703" t="s">
        <v>59</v>
      </c>
    </row>
    <row r="704" spans="1:21">
      <c r="A704">
        <v>18</v>
      </c>
      <c r="B704" t="s">
        <v>21</v>
      </c>
      <c r="C704" s="2">
        <v>45806</v>
      </c>
      <c r="I704">
        <f t="shared" si="102"/>
        <v>0</v>
      </c>
      <c r="J704" t="s">
        <v>59</v>
      </c>
      <c r="L704">
        <v>18</v>
      </c>
      <c r="M704" t="s">
        <v>21</v>
      </c>
      <c r="N704" s="2">
        <v>45807</v>
      </c>
      <c r="O704">
        <v>490</v>
      </c>
      <c r="P704">
        <v>525</v>
      </c>
      <c r="S704">
        <v>0</v>
      </c>
      <c r="T704">
        <f t="shared" si="103"/>
        <v>1015</v>
      </c>
      <c r="U704" t="s">
        <v>59</v>
      </c>
    </row>
    <row r="705" spans="1:21">
      <c r="A705">
        <v>19</v>
      </c>
      <c r="B705" t="s">
        <v>104</v>
      </c>
      <c r="C705" s="2">
        <v>45806</v>
      </c>
      <c r="I705">
        <f>D705+E705+H705</f>
        <v>0</v>
      </c>
      <c r="L705">
        <v>19</v>
      </c>
      <c r="M705" t="s">
        <v>104</v>
      </c>
      <c r="N705" s="2">
        <v>45807</v>
      </c>
      <c r="T705">
        <f>O705+P705+S705</f>
        <v>0</v>
      </c>
    </row>
    <row r="706" spans="1:21">
      <c r="A706">
        <v>20</v>
      </c>
      <c r="B706" t="s">
        <v>26</v>
      </c>
      <c r="C706" s="2">
        <v>45806</v>
      </c>
      <c r="I706">
        <f t="shared" ref="I706" si="104">D706+E706+H706</f>
        <v>0</v>
      </c>
      <c r="J706" t="s">
        <v>54</v>
      </c>
      <c r="L706">
        <v>20</v>
      </c>
      <c r="M706" t="s">
        <v>26</v>
      </c>
      <c r="N706" s="2">
        <v>45807</v>
      </c>
      <c r="T706">
        <f t="shared" ref="T706" si="105">O706+P706+S706</f>
        <v>0</v>
      </c>
      <c r="U706" t="s">
        <v>54</v>
      </c>
    </row>
    <row r="707" spans="1:21">
      <c r="B707" t="s">
        <v>8</v>
      </c>
      <c r="D707">
        <f>D687+D688+D689+D690+D691+D692+D694+D693+D695+D696+D697+D698+D699+D700+D702+D704</f>
        <v>702</v>
      </c>
      <c r="E707">
        <f>SUM(E687:E706)</f>
        <v>769</v>
      </c>
      <c r="I707">
        <f>I687+I688+I689+I690+I691+I692+I693+I694+I695+I696+I697+I698+I699+I700+I701+I702+I703+I704+I705+I706</f>
        <v>1621</v>
      </c>
      <c r="M707" t="s">
        <v>8</v>
      </c>
      <c r="O707">
        <f>O687+O688+O689+O690+O691+O692+O694+O693+O695+O696+O697+O698+O699+O700+O702+O704</f>
        <v>1559</v>
      </c>
      <c r="P707">
        <f>SUM(P687:P706)</f>
        <v>1427</v>
      </c>
      <c r="T707">
        <f>T687+T688+T689+T690+T691+T692+T693+T694+T695+T696+T697+T698+T699+T700+T701+T702+T703+T704+T705+T706</f>
        <v>3161</v>
      </c>
    </row>
    <row r="710" spans="1:21">
      <c r="B710" t="s">
        <v>38</v>
      </c>
      <c r="C710" t="s">
        <v>241</v>
      </c>
      <c r="M710" t="s">
        <v>38</v>
      </c>
      <c r="N710" t="s">
        <v>242</v>
      </c>
    </row>
    <row r="711" spans="1:21">
      <c r="A711" t="s">
        <v>0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t="s">
        <v>7</v>
      </c>
      <c r="I711" t="s">
        <v>8</v>
      </c>
      <c r="J711" t="s">
        <v>51</v>
      </c>
      <c r="L711" t="s">
        <v>0</v>
      </c>
      <c r="M711" t="s">
        <v>1</v>
      </c>
      <c r="N711" t="s">
        <v>2</v>
      </c>
      <c r="O711" t="s">
        <v>3</v>
      </c>
      <c r="P711" t="s">
        <v>4</v>
      </c>
      <c r="Q711" t="s">
        <v>5</v>
      </c>
      <c r="R711" t="s">
        <v>6</v>
      </c>
      <c r="S711" t="s">
        <v>7</v>
      </c>
      <c r="T711" t="s">
        <v>8</v>
      </c>
      <c r="U711" t="s">
        <v>51</v>
      </c>
    </row>
    <row r="712" spans="1:21">
      <c r="A712">
        <v>1</v>
      </c>
      <c r="B712" t="s">
        <v>9</v>
      </c>
      <c r="C712" s="2">
        <v>45808</v>
      </c>
      <c r="D712">
        <v>19</v>
      </c>
      <c r="E712">
        <v>15</v>
      </c>
      <c r="F712">
        <v>6</v>
      </c>
      <c r="G712">
        <v>1</v>
      </c>
      <c r="H712">
        <v>7</v>
      </c>
      <c r="I712">
        <f>D712+E712+H712</f>
        <v>41</v>
      </c>
      <c r="J712" t="s">
        <v>50</v>
      </c>
      <c r="L712">
        <v>1</v>
      </c>
      <c r="M712" t="s">
        <v>9</v>
      </c>
      <c r="N712" s="2">
        <v>45809</v>
      </c>
      <c r="O712">
        <v>15</v>
      </c>
      <c r="P712">
        <v>7</v>
      </c>
      <c r="Q712">
        <v>3</v>
      </c>
      <c r="R712">
        <v>0</v>
      </c>
      <c r="S712">
        <v>3</v>
      </c>
      <c r="T712">
        <f>O712+P712+S712</f>
        <v>25</v>
      </c>
      <c r="U712" t="s">
        <v>50</v>
      </c>
    </row>
    <row r="713" spans="1:21">
      <c r="A713">
        <v>2</v>
      </c>
      <c r="B713" t="s">
        <v>11</v>
      </c>
      <c r="C713" s="2">
        <v>45808</v>
      </c>
      <c r="D713">
        <v>12</v>
      </c>
      <c r="E713">
        <v>7</v>
      </c>
      <c r="H713">
        <v>0</v>
      </c>
      <c r="I713">
        <f>D713+E713+H713</f>
        <v>19</v>
      </c>
      <c r="J713" t="s">
        <v>52</v>
      </c>
      <c r="L713">
        <v>2</v>
      </c>
      <c r="M713" t="s">
        <v>11</v>
      </c>
      <c r="N713" s="2">
        <v>45809</v>
      </c>
      <c r="T713">
        <f>O713+P713+S713</f>
        <v>0</v>
      </c>
      <c r="U713" t="s">
        <v>52</v>
      </c>
    </row>
    <row r="714" spans="1:21">
      <c r="A714">
        <v>3</v>
      </c>
      <c r="B714" t="s">
        <v>12</v>
      </c>
      <c r="C714" s="2">
        <v>45808</v>
      </c>
      <c r="D714">
        <v>52</v>
      </c>
      <c r="E714">
        <v>42</v>
      </c>
      <c r="H714">
        <v>0</v>
      </c>
      <c r="I714">
        <f>SUM(D714,E714,H714)</f>
        <v>94</v>
      </c>
      <c r="J714" t="s">
        <v>53</v>
      </c>
      <c r="L714">
        <v>3</v>
      </c>
      <c r="M714" t="s">
        <v>12</v>
      </c>
      <c r="N714" s="2">
        <v>45809</v>
      </c>
      <c r="O714">
        <v>44</v>
      </c>
      <c r="P714">
        <v>51</v>
      </c>
      <c r="T714">
        <f>SUM(O714,P714,S714)</f>
        <v>95</v>
      </c>
      <c r="U714" t="s">
        <v>53</v>
      </c>
    </row>
    <row r="715" spans="1:21">
      <c r="A715">
        <v>4</v>
      </c>
      <c r="B715" t="s">
        <v>13</v>
      </c>
      <c r="C715" s="2">
        <v>45808</v>
      </c>
      <c r="D715">
        <v>32</v>
      </c>
      <c r="E715">
        <v>9</v>
      </c>
      <c r="H715">
        <v>21</v>
      </c>
      <c r="I715">
        <f t="shared" ref="I715:I729" si="106">D715+E715+H715</f>
        <v>62</v>
      </c>
      <c r="J715" t="s">
        <v>52</v>
      </c>
      <c r="L715">
        <v>4</v>
      </c>
      <c r="M715" t="s">
        <v>13</v>
      </c>
      <c r="N715" s="2">
        <v>45809</v>
      </c>
      <c r="O715">
        <v>22</v>
      </c>
      <c r="P715">
        <v>4</v>
      </c>
      <c r="S715">
        <v>2</v>
      </c>
      <c r="T715">
        <f t="shared" ref="T715:T729" si="107">O715+P715+S715</f>
        <v>28</v>
      </c>
      <c r="U715" t="s">
        <v>52</v>
      </c>
    </row>
    <row r="716" spans="1:21">
      <c r="A716">
        <v>5</v>
      </c>
      <c r="B716" t="s">
        <v>14</v>
      </c>
      <c r="C716" s="2">
        <v>45808</v>
      </c>
      <c r="I716">
        <f t="shared" si="106"/>
        <v>0</v>
      </c>
      <c r="J716" t="s">
        <v>54</v>
      </c>
      <c r="L716">
        <v>5</v>
      </c>
      <c r="M716" t="s">
        <v>14</v>
      </c>
      <c r="N716" s="2">
        <v>45809</v>
      </c>
      <c r="T716">
        <f t="shared" si="107"/>
        <v>0</v>
      </c>
      <c r="U716" t="s">
        <v>54</v>
      </c>
    </row>
    <row r="717" spans="1:21">
      <c r="A717">
        <v>6</v>
      </c>
      <c r="B717" t="s">
        <v>15</v>
      </c>
      <c r="C717" s="2">
        <v>45808</v>
      </c>
      <c r="D717">
        <v>85</v>
      </c>
      <c r="E717">
        <v>64</v>
      </c>
      <c r="H717">
        <v>0</v>
      </c>
      <c r="I717">
        <f t="shared" si="106"/>
        <v>149</v>
      </c>
      <c r="J717" t="s">
        <v>55</v>
      </c>
      <c r="L717">
        <v>6</v>
      </c>
      <c r="M717" t="s">
        <v>15</v>
      </c>
      <c r="N717" s="2">
        <v>45809</v>
      </c>
      <c r="O717">
        <v>40</v>
      </c>
      <c r="P717">
        <v>49</v>
      </c>
      <c r="S717">
        <v>0</v>
      </c>
      <c r="T717">
        <f t="shared" si="107"/>
        <v>89</v>
      </c>
      <c r="U717" t="s">
        <v>55</v>
      </c>
    </row>
    <row r="718" spans="1:21">
      <c r="A718">
        <v>7</v>
      </c>
      <c r="B718" t="s">
        <v>16</v>
      </c>
      <c r="C718" s="2">
        <v>45808</v>
      </c>
      <c r="D718">
        <v>45</v>
      </c>
      <c r="E718">
        <v>53</v>
      </c>
      <c r="H718">
        <v>0</v>
      </c>
      <c r="I718">
        <f t="shared" si="106"/>
        <v>98</v>
      </c>
      <c r="J718" t="s">
        <v>52</v>
      </c>
      <c r="L718">
        <v>7</v>
      </c>
      <c r="M718" t="s">
        <v>16</v>
      </c>
      <c r="N718" s="2">
        <v>45809</v>
      </c>
      <c r="O718">
        <v>60</v>
      </c>
      <c r="P718">
        <v>73</v>
      </c>
      <c r="S718">
        <v>0</v>
      </c>
      <c r="T718">
        <f t="shared" si="107"/>
        <v>133</v>
      </c>
      <c r="U718" t="s">
        <v>52</v>
      </c>
    </row>
    <row r="719" spans="1:21">
      <c r="A719">
        <v>8</v>
      </c>
      <c r="B719" t="s">
        <v>17</v>
      </c>
      <c r="C719" s="2">
        <v>45808</v>
      </c>
      <c r="D719">
        <v>19</v>
      </c>
      <c r="E719">
        <v>6</v>
      </c>
      <c r="H719">
        <v>2</v>
      </c>
      <c r="I719">
        <f t="shared" si="106"/>
        <v>27</v>
      </c>
      <c r="J719" t="s">
        <v>50</v>
      </c>
      <c r="L719">
        <v>8</v>
      </c>
      <c r="M719" t="s">
        <v>17</v>
      </c>
      <c r="N719" s="2">
        <v>45809</v>
      </c>
      <c r="O719">
        <v>84</v>
      </c>
      <c r="P719">
        <v>100</v>
      </c>
      <c r="Q719">
        <v>23</v>
      </c>
      <c r="R719">
        <v>25</v>
      </c>
      <c r="S719">
        <v>45</v>
      </c>
      <c r="T719">
        <f t="shared" si="107"/>
        <v>229</v>
      </c>
      <c r="U719" t="s">
        <v>50</v>
      </c>
    </row>
    <row r="720" spans="1:21">
      <c r="A720">
        <v>9</v>
      </c>
      <c r="B720" t="s">
        <v>18</v>
      </c>
      <c r="C720" s="2">
        <v>45808</v>
      </c>
      <c r="D720">
        <v>48</v>
      </c>
      <c r="E720">
        <v>15</v>
      </c>
      <c r="H720">
        <v>7</v>
      </c>
      <c r="I720">
        <f t="shared" si="106"/>
        <v>70</v>
      </c>
      <c r="J720" t="s">
        <v>56</v>
      </c>
      <c r="L720">
        <v>9</v>
      </c>
      <c r="M720" t="s">
        <v>18</v>
      </c>
      <c r="N720" s="2">
        <v>45809</v>
      </c>
      <c r="O720">
        <v>31</v>
      </c>
      <c r="P720">
        <v>12</v>
      </c>
      <c r="S720">
        <v>10</v>
      </c>
      <c r="T720">
        <f t="shared" si="107"/>
        <v>53</v>
      </c>
      <c r="U720" t="s">
        <v>56</v>
      </c>
    </row>
    <row r="721" spans="1:21">
      <c r="A721">
        <v>10</v>
      </c>
      <c r="B721" t="s">
        <v>19</v>
      </c>
      <c r="C721" s="2">
        <v>45808</v>
      </c>
      <c r="D721">
        <v>147</v>
      </c>
      <c r="E721">
        <v>91</v>
      </c>
      <c r="H721">
        <v>40</v>
      </c>
      <c r="I721">
        <f t="shared" si="106"/>
        <v>278</v>
      </c>
      <c r="J721" t="s">
        <v>53</v>
      </c>
      <c r="L721">
        <v>10</v>
      </c>
      <c r="M721" t="s">
        <v>19</v>
      </c>
      <c r="N721" s="2">
        <v>45809</v>
      </c>
      <c r="O721">
        <v>84</v>
      </c>
      <c r="P721">
        <v>49</v>
      </c>
      <c r="S721">
        <v>21</v>
      </c>
      <c r="T721">
        <f t="shared" si="107"/>
        <v>154</v>
      </c>
      <c r="U721" t="s">
        <v>53</v>
      </c>
    </row>
    <row r="722" spans="1:21">
      <c r="A722">
        <v>11</v>
      </c>
      <c r="B722" t="s">
        <v>25</v>
      </c>
      <c r="C722" s="2">
        <v>45808</v>
      </c>
      <c r="D722">
        <v>5</v>
      </c>
      <c r="E722">
        <v>4</v>
      </c>
      <c r="F722">
        <v>2</v>
      </c>
      <c r="G722">
        <v>1</v>
      </c>
      <c r="H722">
        <v>3</v>
      </c>
      <c r="I722">
        <f t="shared" si="106"/>
        <v>12</v>
      </c>
      <c r="J722" t="s">
        <v>54</v>
      </c>
      <c r="L722">
        <v>11</v>
      </c>
      <c r="M722" t="s">
        <v>25</v>
      </c>
      <c r="N722" s="2">
        <v>45809</v>
      </c>
      <c r="O722">
        <v>6</v>
      </c>
      <c r="P722">
        <v>1</v>
      </c>
      <c r="S722">
        <v>0</v>
      </c>
      <c r="T722">
        <f t="shared" si="107"/>
        <v>7</v>
      </c>
      <c r="U722" t="s">
        <v>54</v>
      </c>
    </row>
    <row r="723" spans="1:21">
      <c r="A723">
        <v>12</v>
      </c>
      <c r="B723" t="s">
        <v>27</v>
      </c>
      <c r="C723" s="2">
        <v>45808</v>
      </c>
      <c r="I723">
        <f t="shared" si="106"/>
        <v>0</v>
      </c>
      <c r="J723" t="s">
        <v>56</v>
      </c>
      <c r="L723">
        <v>12</v>
      </c>
      <c r="M723" t="s">
        <v>27</v>
      </c>
      <c r="N723" s="2">
        <v>45809</v>
      </c>
      <c r="O723">
        <v>165</v>
      </c>
      <c r="P723">
        <v>182</v>
      </c>
      <c r="Q723">
        <v>16</v>
      </c>
      <c r="R723">
        <v>19</v>
      </c>
      <c r="S723">
        <v>35</v>
      </c>
      <c r="T723">
        <f t="shared" si="107"/>
        <v>382</v>
      </c>
      <c r="U723" t="s">
        <v>56</v>
      </c>
    </row>
    <row r="724" spans="1:21">
      <c r="A724">
        <v>13</v>
      </c>
      <c r="B724" t="s">
        <v>20</v>
      </c>
      <c r="C724" s="2">
        <v>45808</v>
      </c>
      <c r="D724">
        <v>39</v>
      </c>
      <c r="E724">
        <v>32</v>
      </c>
      <c r="F724">
        <v>6</v>
      </c>
      <c r="G724">
        <v>7</v>
      </c>
      <c r="H724">
        <v>13</v>
      </c>
      <c r="I724">
        <f t="shared" si="106"/>
        <v>84</v>
      </c>
      <c r="J724" t="s">
        <v>57</v>
      </c>
      <c r="L724">
        <v>13</v>
      </c>
      <c r="M724" t="s">
        <v>20</v>
      </c>
      <c r="N724" s="2">
        <v>45809</v>
      </c>
      <c r="T724">
        <f t="shared" si="107"/>
        <v>0</v>
      </c>
      <c r="U724" t="s">
        <v>57</v>
      </c>
    </row>
    <row r="725" spans="1:21">
      <c r="A725">
        <v>14</v>
      </c>
      <c r="B725" t="s">
        <v>32</v>
      </c>
      <c r="C725" s="2">
        <v>45808</v>
      </c>
      <c r="D725">
        <v>22</v>
      </c>
      <c r="E725">
        <v>27</v>
      </c>
      <c r="F725">
        <v>3</v>
      </c>
      <c r="G725">
        <v>0</v>
      </c>
      <c r="H725">
        <v>3</v>
      </c>
      <c r="I725">
        <f t="shared" si="106"/>
        <v>52</v>
      </c>
      <c r="J725" t="s">
        <v>50</v>
      </c>
      <c r="L725">
        <v>14</v>
      </c>
      <c r="M725" t="s">
        <v>32</v>
      </c>
      <c r="N725" s="2">
        <v>45809</v>
      </c>
      <c r="O725">
        <v>17</v>
      </c>
      <c r="P725">
        <v>5</v>
      </c>
      <c r="Q725">
        <v>1</v>
      </c>
      <c r="R725">
        <v>2</v>
      </c>
      <c r="S725">
        <v>3</v>
      </c>
      <c r="T725">
        <f t="shared" si="107"/>
        <v>25</v>
      </c>
      <c r="U725" t="s">
        <v>50</v>
      </c>
    </row>
    <row r="726" spans="1:21">
      <c r="A726">
        <v>15</v>
      </c>
      <c r="B726" t="s">
        <v>48</v>
      </c>
      <c r="C726" s="2">
        <v>45808</v>
      </c>
      <c r="I726">
        <f t="shared" si="106"/>
        <v>0</v>
      </c>
      <c r="J726" t="s">
        <v>59</v>
      </c>
      <c r="L726">
        <v>15</v>
      </c>
      <c r="M726" t="s">
        <v>48</v>
      </c>
      <c r="N726" s="2">
        <v>45809</v>
      </c>
      <c r="T726">
        <f t="shared" si="107"/>
        <v>0</v>
      </c>
      <c r="U726" t="s">
        <v>59</v>
      </c>
    </row>
    <row r="727" spans="1:21">
      <c r="A727">
        <v>16</v>
      </c>
      <c r="B727" t="s">
        <v>37</v>
      </c>
      <c r="C727" s="2">
        <v>45808</v>
      </c>
      <c r="I727">
        <f t="shared" si="106"/>
        <v>0</v>
      </c>
      <c r="J727" t="s">
        <v>55</v>
      </c>
      <c r="L727">
        <v>16</v>
      </c>
      <c r="M727" t="s">
        <v>37</v>
      </c>
      <c r="N727" s="2">
        <v>45809</v>
      </c>
      <c r="O727">
        <v>17</v>
      </c>
      <c r="P727">
        <v>20</v>
      </c>
      <c r="Q727">
        <v>1</v>
      </c>
      <c r="R727">
        <v>0</v>
      </c>
      <c r="S727">
        <v>1</v>
      </c>
      <c r="T727">
        <f t="shared" si="107"/>
        <v>38</v>
      </c>
      <c r="U727" t="s">
        <v>55</v>
      </c>
    </row>
    <row r="728" spans="1:21">
      <c r="A728">
        <v>17</v>
      </c>
      <c r="B728" t="s">
        <v>49</v>
      </c>
      <c r="C728" s="2">
        <v>45808</v>
      </c>
      <c r="I728">
        <f t="shared" si="106"/>
        <v>0</v>
      </c>
      <c r="J728" t="s">
        <v>59</v>
      </c>
      <c r="L728">
        <v>17</v>
      </c>
      <c r="M728" t="s">
        <v>49</v>
      </c>
      <c r="N728" s="2">
        <v>45809</v>
      </c>
      <c r="T728">
        <f t="shared" si="107"/>
        <v>0</v>
      </c>
      <c r="U728" t="s">
        <v>59</v>
      </c>
    </row>
    <row r="729" spans="1:21">
      <c r="A729">
        <v>18</v>
      </c>
      <c r="B729" t="s">
        <v>21</v>
      </c>
      <c r="C729" s="2">
        <v>45808</v>
      </c>
      <c r="I729">
        <f t="shared" si="106"/>
        <v>0</v>
      </c>
      <c r="J729" t="s">
        <v>59</v>
      </c>
      <c r="L729">
        <v>18</v>
      </c>
      <c r="M729" t="s">
        <v>21</v>
      </c>
      <c r="N729" s="2">
        <v>45809</v>
      </c>
      <c r="O729">
        <v>205</v>
      </c>
      <c r="P729">
        <v>223</v>
      </c>
      <c r="S729">
        <v>0</v>
      </c>
      <c r="T729">
        <f t="shared" si="107"/>
        <v>428</v>
      </c>
      <c r="U729" t="s">
        <v>59</v>
      </c>
    </row>
    <row r="730" spans="1:21">
      <c r="A730">
        <v>19</v>
      </c>
      <c r="B730" t="s">
        <v>104</v>
      </c>
      <c r="C730" s="2">
        <v>45808</v>
      </c>
      <c r="I730">
        <f>D730+E730+H730</f>
        <v>0</v>
      </c>
      <c r="L730">
        <v>19</v>
      </c>
      <c r="M730" t="s">
        <v>104</v>
      </c>
      <c r="N730" s="2">
        <v>45809</v>
      </c>
      <c r="T730">
        <f>O730+P730+S730</f>
        <v>0</v>
      </c>
    </row>
    <row r="731" spans="1:21">
      <c r="A731">
        <v>20</v>
      </c>
      <c r="B731" t="s">
        <v>26</v>
      </c>
      <c r="C731" s="2">
        <v>45808</v>
      </c>
      <c r="I731">
        <f t="shared" ref="I731" si="108">D731+E731+H731</f>
        <v>0</v>
      </c>
      <c r="J731" t="s">
        <v>54</v>
      </c>
      <c r="L731">
        <v>20</v>
      </c>
      <c r="M731" t="s">
        <v>26</v>
      </c>
      <c r="N731" s="2">
        <v>45809</v>
      </c>
      <c r="T731">
        <f t="shared" ref="T731" si="109">O731+P731+S731</f>
        <v>0</v>
      </c>
      <c r="U731" t="s">
        <v>54</v>
      </c>
    </row>
    <row r="732" spans="1:21">
      <c r="B732" t="s">
        <v>8</v>
      </c>
      <c r="D732">
        <f>D712+D713+D714+D715+D716+D717+D719+D718+D720+D721+D722+D723+D724+D725+D727+D729</f>
        <v>525</v>
      </c>
      <c r="E732">
        <f>SUM(E712:E731)</f>
        <v>365</v>
      </c>
      <c r="I732">
        <f>I712+I713+I714+I715+I716+I717+I718+I719+I720+I721+I722+I723+I724+I725+I726+I727+I728+I729+I730+I731</f>
        <v>986</v>
      </c>
      <c r="M732" t="s">
        <v>8</v>
      </c>
      <c r="O732">
        <f>O712+O713+O714+O715+O716+O717+O719+O718+O720+O721+O722+O723+O724+O725+O727+O729</f>
        <v>790</v>
      </c>
      <c r="P732">
        <f>SUM(P712:P731)</f>
        <v>776</v>
      </c>
      <c r="T732">
        <f>T712+T713+T714+T715+T716+T717+T718+T719+T720+T721+T722+T723+T724+T725+T726+T727+T728+T729+T730+T731</f>
        <v>1686</v>
      </c>
    </row>
    <row r="735" spans="1:21">
      <c r="B735" t="s">
        <v>38</v>
      </c>
      <c r="C735" t="s">
        <v>243</v>
      </c>
      <c r="M735" t="s">
        <v>38</v>
      </c>
      <c r="N735" t="s">
        <v>244</v>
      </c>
    </row>
    <row r="736" spans="1:21">
      <c r="A736" t="s">
        <v>0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t="s">
        <v>7</v>
      </c>
      <c r="I736" t="s">
        <v>8</v>
      </c>
      <c r="J736" t="s">
        <v>51</v>
      </c>
      <c r="L736" t="s">
        <v>0</v>
      </c>
      <c r="M736" t="s">
        <v>1</v>
      </c>
      <c r="N736" t="s">
        <v>2</v>
      </c>
      <c r="O736" t="s">
        <v>3</v>
      </c>
      <c r="P736" t="s">
        <v>4</v>
      </c>
      <c r="Q736" t="s">
        <v>5</v>
      </c>
      <c r="R736" t="s">
        <v>6</v>
      </c>
      <c r="S736" t="s">
        <v>7</v>
      </c>
      <c r="T736" t="s">
        <v>8</v>
      </c>
      <c r="U736" t="s">
        <v>51</v>
      </c>
    </row>
    <row r="737" spans="1:21">
      <c r="A737">
        <v>1</v>
      </c>
      <c r="B737" t="s">
        <v>9</v>
      </c>
      <c r="C737" s="2">
        <v>45810</v>
      </c>
      <c r="D737">
        <v>27</v>
      </c>
      <c r="E737">
        <v>18</v>
      </c>
      <c r="F737">
        <v>4</v>
      </c>
      <c r="G737">
        <v>2</v>
      </c>
      <c r="H737">
        <v>6</v>
      </c>
      <c r="I737">
        <f>D737+E737+H737</f>
        <v>51</v>
      </c>
      <c r="J737" t="s">
        <v>50</v>
      </c>
      <c r="L737">
        <v>1</v>
      </c>
      <c r="M737" t="s">
        <v>9</v>
      </c>
      <c r="N737" s="2">
        <v>45811</v>
      </c>
      <c r="O737">
        <v>20</v>
      </c>
      <c r="P737">
        <v>16</v>
      </c>
      <c r="Q737">
        <v>2</v>
      </c>
      <c r="R737">
        <v>0</v>
      </c>
      <c r="S737">
        <v>2</v>
      </c>
      <c r="T737">
        <f>O737+P737+S737</f>
        <v>38</v>
      </c>
      <c r="U737" t="s">
        <v>50</v>
      </c>
    </row>
    <row r="738" spans="1:21">
      <c r="A738">
        <v>2</v>
      </c>
      <c r="B738" t="s">
        <v>11</v>
      </c>
      <c r="C738" s="2">
        <v>45810</v>
      </c>
      <c r="D738">
        <v>10</v>
      </c>
      <c r="E738">
        <v>6</v>
      </c>
      <c r="F738">
        <v>1</v>
      </c>
      <c r="G738">
        <v>0</v>
      </c>
      <c r="H738">
        <v>0</v>
      </c>
      <c r="I738">
        <f>D738+E738+H738</f>
        <v>16</v>
      </c>
      <c r="J738" t="s">
        <v>52</v>
      </c>
      <c r="L738">
        <v>2</v>
      </c>
      <c r="M738" t="s">
        <v>11</v>
      </c>
      <c r="N738" s="2">
        <v>45811</v>
      </c>
      <c r="O738">
        <v>15</v>
      </c>
      <c r="P738">
        <v>7</v>
      </c>
      <c r="Q738">
        <v>5</v>
      </c>
      <c r="R738">
        <v>10</v>
      </c>
      <c r="S738">
        <v>15</v>
      </c>
      <c r="T738">
        <f>O738+P738+S738</f>
        <v>37</v>
      </c>
      <c r="U738" t="s">
        <v>52</v>
      </c>
    </row>
    <row r="739" spans="1:21">
      <c r="A739">
        <v>3</v>
      </c>
      <c r="B739" t="s">
        <v>12</v>
      </c>
      <c r="C739" s="2">
        <v>45810</v>
      </c>
      <c r="D739">
        <v>20</v>
      </c>
      <c r="E739">
        <v>56</v>
      </c>
      <c r="H739">
        <v>0</v>
      </c>
      <c r="I739">
        <f>SUM(D739,E739,H739)</f>
        <v>76</v>
      </c>
      <c r="J739" t="s">
        <v>53</v>
      </c>
      <c r="L739">
        <v>3</v>
      </c>
      <c r="M739" t="s">
        <v>12</v>
      </c>
      <c r="N739" s="2">
        <v>45811</v>
      </c>
      <c r="O739">
        <v>30</v>
      </c>
      <c r="P739">
        <v>30</v>
      </c>
      <c r="S739">
        <v>0</v>
      </c>
      <c r="T739">
        <f>SUM(O739,P739,S739)</f>
        <v>60</v>
      </c>
      <c r="U739" t="s">
        <v>53</v>
      </c>
    </row>
    <row r="740" spans="1:21">
      <c r="A740">
        <v>4</v>
      </c>
      <c r="B740" t="s">
        <v>13</v>
      </c>
      <c r="C740" s="2">
        <v>45810</v>
      </c>
      <c r="D740">
        <v>34</v>
      </c>
      <c r="E740">
        <v>11</v>
      </c>
      <c r="H740">
        <v>6</v>
      </c>
      <c r="I740">
        <f t="shared" ref="I740:I754" si="110">D740+E740+H740</f>
        <v>51</v>
      </c>
      <c r="J740" t="s">
        <v>52</v>
      </c>
      <c r="L740">
        <v>4</v>
      </c>
      <c r="M740" t="s">
        <v>13</v>
      </c>
      <c r="N740" s="2">
        <v>45811</v>
      </c>
      <c r="O740">
        <v>35</v>
      </c>
      <c r="P740">
        <v>6</v>
      </c>
      <c r="S740">
        <v>0</v>
      </c>
      <c r="T740">
        <f t="shared" ref="T740:T754" si="111">O740+P740+S740</f>
        <v>41</v>
      </c>
      <c r="U740" t="s">
        <v>52</v>
      </c>
    </row>
    <row r="741" spans="1:21">
      <c r="A741">
        <v>5</v>
      </c>
      <c r="B741" t="s">
        <v>14</v>
      </c>
      <c r="C741" s="2">
        <v>45810</v>
      </c>
      <c r="D741">
        <v>353</v>
      </c>
      <c r="E741">
        <v>869</v>
      </c>
      <c r="H741">
        <v>131</v>
      </c>
      <c r="I741">
        <f t="shared" si="110"/>
        <v>1353</v>
      </c>
      <c r="J741" t="s">
        <v>54</v>
      </c>
      <c r="L741">
        <v>5</v>
      </c>
      <c r="M741" t="s">
        <v>14</v>
      </c>
      <c r="N741" s="2">
        <v>45811</v>
      </c>
      <c r="O741">
        <v>400</v>
      </c>
      <c r="P741">
        <v>872</v>
      </c>
      <c r="S741">
        <v>268</v>
      </c>
      <c r="T741">
        <f t="shared" si="111"/>
        <v>1540</v>
      </c>
      <c r="U741" t="s">
        <v>54</v>
      </c>
    </row>
    <row r="742" spans="1:21">
      <c r="A742">
        <v>6</v>
      </c>
      <c r="B742" t="s">
        <v>15</v>
      </c>
      <c r="C742" s="2">
        <v>45810</v>
      </c>
      <c r="D742">
        <v>240</v>
      </c>
      <c r="E742">
        <v>108</v>
      </c>
      <c r="H742">
        <v>0</v>
      </c>
      <c r="I742">
        <f t="shared" si="110"/>
        <v>348</v>
      </c>
      <c r="J742" t="s">
        <v>55</v>
      </c>
      <c r="L742">
        <v>6</v>
      </c>
      <c r="M742" t="s">
        <v>15</v>
      </c>
      <c r="N742" s="2">
        <v>45811</v>
      </c>
      <c r="O742">
        <v>131</v>
      </c>
      <c r="P742">
        <v>86</v>
      </c>
      <c r="S742">
        <v>0</v>
      </c>
      <c r="T742">
        <f t="shared" si="111"/>
        <v>217</v>
      </c>
      <c r="U742" t="s">
        <v>55</v>
      </c>
    </row>
    <row r="743" spans="1:21">
      <c r="A743">
        <v>7</v>
      </c>
      <c r="B743" t="s">
        <v>16</v>
      </c>
      <c r="C743" s="2">
        <v>45810</v>
      </c>
      <c r="I743">
        <f t="shared" si="110"/>
        <v>0</v>
      </c>
      <c r="J743" t="s">
        <v>52</v>
      </c>
      <c r="L743">
        <v>7</v>
      </c>
      <c r="M743" t="s">
        <v>16</v>
      </c>
      <c r="N743" s="2">
        <v>45811</v>
      </c>
      <c r="T743">
        <f t="shared" si="111"/>
        <v>0</v>
      </c>
      <c r="U743" t="s">
        <v>52</v>
      </c>
    </row>
    <row r="744" spans="1:21">
      <c r="A744">
        <v>8</v>
      </c>
      <c r="B744" t="s">
        <v>17</v>
      </c>
      <c r="C744" s="2">
        <v>45810</v>
      </c>
      <c r="D744">
        <v>110</v>
      </c>
      <c r="E744">
        <v>149</v>
      </c>
      <c r="F744">
        <v>10</v>
      </c>
      <c r="G744">
        <v>20</v>
      </c>
      <c r="H744">
        <v>30</v>
      </c>
      <c r="I744">
        <f t="shared" si="110"/>
        <v>289</v>
      </c>
      <c r="J744" t="s">
        <v>50</v>
      </c>
      <c r="L744">
        <v>8</v>
      </c>
      <c r="M744" t="s">
        <v>17</v>
      </c>
      <c r="N744" s="2">
        <v>45811</v>
      </c>
      <c r="O744">
        <v>13</v>
      </c>
      <c r="P744">
        <v>9</v>
      </c>
      <c r="S744">
        <v>2</v>
      </c>
      <c r="T744">
        <f t="shared" si="111"/>
        <v>24</v>
      </c>
      <c r="U744" t="s">
        <v>50</v>
      </c>
    </row>
    <row r="745" spans="1:21">
      <c r="A745">
        <v>9</v>
      </c>
      <c r="B745" t="s">
        <v>18</v>
      </c>
      <c r="C745" s="2">
        <v>45810</v>
      </c>
      <c r="D745">
        <v>50</v>
      </c>
      <c r="E745">
        <v>11</v>
      </c>
      <c r="H745">
        <v>10</v>
      </c>
      <c r="I745">
        <f t="shared" si="110"/>
        <v>71</v>
      </c>
      <c r="J745" t="s">
        <v>56</v>
      </c>
      <c r="L745">
        <v>9</v>
      </c>
      <c r="M745" t="s">
        <v>18</v>
      </c>
      <c r="N745" s="2">
        <v>45811</v>
      </c>
      <c r="O745">
        <v>54</v>
      </c>
      <c r="P745">
        <v>15</v>
      </c>
      <c r="S745">
        <v>11</v>
      </c>
      <c r="T745">
        <f t="shared" si="111"/>
        <v>80</v>
      </c>
      <c r="U745" t="s">
        <v>56</v>
      </c>
    </row>
    <row r="746" spans="1:21">
      <c r="A746">
        <v>10</v>
      </c>
      <c r="B746" t="s">
        <v>19</v>
      </c>
      <c r="C746" s="2">
        <v>45810</v>
      </c>
      <c r="D746">
        <v>128</v>
      </c>
      <c r="E746">
        <v>91</v>
      </c>
      <c r="G746">
        <v>32</v>
      </c>
      <c r="I746">
        <f t="shared" si="110"/>
        <v>219</v>
      </c>
      <c r="J746" t="s">
        <v>53</v>
      </c>
      <c r="L746">
        <v>10</v>
      </c>
      <c r="M746" t="s">
        <v>19</v>
      </c>
      <c r="N746" s="2">
        <v>45811</v>
      </c>
      <c r="O746">
        <v>132</v>
      </c>
      <c r="P746">
        <v>93</v>
      </c>
      <c r="S746">
        <v>34</v>
      </c>
      <c r="T746">
        <f t="shared" si="111"/>
        <v>259</v>
      </c>
      <c r="U746" t="s">
        <v>53</v>
      </c>
    </row>
    <row r="747" spans="1:21">
      <c r="A747">
        <v>11</v>
      </c>
      <c r="B747" t="s">
        <v>25</v>
      </c>
      <c r="C747" s="2">
        <v>45810</v>
      </c>
      <c r="I747">
        <f t="shared" si="110"/>
        <v>0</v>
      </c>
      <c r="J747" t="s">
        <v>54</v>
      </c>
      <c r="L747">
        <v>11</v>
      </c>
      <c r="M747" t="s">
        <v>25</v>
      </c>
      <c r="N747" s="2">
        <v>45811</v>
      </c>
      <c r="O747">
        <v>6</v>
      </c>
      <c r="P747">
        <v>0</v>
      </c>
      <c r="S747">
        <v>0</v>
      </c>
      <c r="T747">
        <f t="shared" si="111"/>
        <v>6</v>
      </c>
      <c r="U747" t="s">
        <v>54</v>
      </c>
    </row>
    <row r="748" spans="1:21">
      <c r="A748">
        <v>12</v>
      </c>
      <c r="B748" t="s">
        <v>27</v>
      </c>
      <c r="C748" s="2">
        <v>45810</v>
      </c>
      <c r="I748">
        <f t="shared" si="110"/>
        <v>0</v>
      </c>
      <c r="J748" t="s">
        <v>56</v>
      </c>
      <c r="L748">
        <v>12</v>
      </c>
      <c r="M748" t="s">
        <v>27</v>
      </c>
      <c r="N748" s="2">
        <v>45811</v>
      </c>
      <c r="O748">
        <v>195</v>
      </c>
      <c r="P748">
        <v>204</v>
      </c>
      <c r="Q748">
        <v>19</v>
      </c>
      <c r="R748">
        <v>20</v>
      </c>
      <c r="S748">
        <v>39</v>
      </c>
      <c r="T748">
        <f t="shared" si="111"/>
        <v>438</v>
      </c>
      <c r="U748" t="s">
        <v>56</v>
      </c>
    </row>
    <row r="749" spans="1:21">
      <c r="A749">
        <v>13</v>
      </c>
      <c r="B749" t="s">
        <v>20</v>
      </c>
      <c r="C749" s="2">
        <v>45810</v>
      </c>
      <c r="D749">
        <v>123</v>
      </c>
      <c r="E749">
        <v>98</v>
      </c>
      <c r="F749">
        <v>6</v>
      </c>
      <c r="G749">
        <v>10</v>
      </c>
      <c r="H749">
        <v>16</v>
      </c>
      <c r="I749">
        <f t="shared" si="110"/>
        <v>237</v>
      </c>
      <c r="J749" t="s">
        <v>57</v>
      </c>
      <c r="L749">
        <v>13</v>
      </c>
      <c r="M749" t="s">
        <v>20</v>
      </c>
      <c r="N749" s="2">
        <v>45811</v>
      </c>
      <c r="O749">
        <v>101</v>
      </c>
      <c r="P749">
        <v>94</v>
      </c>
      <c r="Q749">
        <v>2</v>
      </c>
      <c r="R749">
        <v>5</v>
      </c>
      <c r="S749">
        <v>7</v>
      </c>
      <c r="T749">
        <f t="shared" si="111"/>
        <v>202</v>
      </c>
      <c r="U749" t="s">
        <v>57</v>
      </c>
    </row>
    <row r="750" spans="1:21">
      <c r="A750">
        <v>14</v>
      </c>
      <c r="B750" t="s">
        <v>32</v>
      </c>
      <c r="C750" s="2">
        <v>45810</v>
      </c>
      <c r="D750">
        <v>50</v>
      </c>
      <c r="E750">
        <v>108</v>
      </c>
      <c r="F750">
        <v>12</v>
      </c>
      <c r="G750">
        <v>14</v>
      </c>
      <c r="H750">
        <v>26</v>
      </c>
      <c r="I750">
        <f t="shared" si="110"/>
        <v>184</v>
      </c>
      <c r="J750" t="s">
        <v>50</v>
      </c>
      <c r="L750">
        <v>14</v>
      </c>
      <c r="M750" t="s">
        <v>32</v>
      </c>
      <c r="N750" s="2">
        <v>45811</v>
      </c>
      <c r="O750">
        <v>39</v>
      </c>
      <c r="P750">
        <v>33</v>
      </c>
      <c r="Q750">
        <v>0</v>
      </c>
      <c r="R750">
        <v>2</v>
      </c>
      <c r="S750">
        <v>2</v>
      </c>
      <c r="T750">
        <f t="shared" si="111"/>
        <v>74</v>
      </c>
      <c r="U750" t="s">
        <v>50</v>
      </c>
    </row>
    <row r="751" spans="1:21">
      <c r="A751">
        <v>15</v>
      </c>
      <c r="B751" t="s">
        <v>48</v>
      </c>
      <c r="C751" s="2">
        <v>45810</v>
      </c>
      <c r="I751">
        <f t="shared" si="110"/>
        <v>0</v>
      </c>
      <c r="J751" t="s">
        <v>59</v>
      </c>
      <c r="L751">
        <v>15</v>
      </c>
      <c r="M751" t="s">
        <v>48</v>
      </c>
      <c r="N751" s="2">
        <v>45811</v>
      </c>
      <c r="T751">
        <f t="shared" si="111"/>
        <v>0</v>
      </c>
      <c r="U751" t="s">
        <v>59</v>
      </c>
    </row>
    <row r="752" spans="1:21">
      <c r="A752">
        <v>16</v>
      </c>
      <c r="B752" t="s">
        <v>37</v>
      </c>
      <c r="C752" s="2">
        <v>45810</v>
      </c>
      <c r="I752">
        <f t="shared" si="110"/>
        <v>0</v>
      </c>
      <c r="J752" t="s">
        <v>55</v>
      </c>
      <c r="L752">
        <v>16</v>
      </c>
      <c r="M752" t="s">
        <v>37</v>
      </c>
      <c r="N752" s="2">
        <v>45811</v>
      </c>
      <c r="O752">
        <v>30</v>
      </c>
      <c r="P752">
        <v>16</v>
      </c>
      <c r="Q752">
        <v>0</v>
      </c>
      <c r="R752">
        <v>1</v>
      </c>
      <c r="S752">
        <v>1</v>
      </c>
      <c r="T752">
        <f t="shared" si="111"/>
        <v>47</v>
      </c>
      <c r="U752" t="s">
        <v>55</v>
      </c>
    </row>
    <row r="753" spans="1:21">
      <c r="A753">
        <v>17</v>
      </c>
      <c r="B753" t="s">
        <v>49</v>
      </c>
      <c r="C753" s="2">
        <v>45810</v>
      </c>
      <c r="I753">
        <f t="shared" si="110"/>
        <v>0</v>
      </c>
      <c r="J753" t="s">
        <v>59</v>
      </c>
      <c r="L753">
        <v>17</v>
      </c>
      <c r="M753" t="s">
        <v>49</v>
      </c>
      <c r="N753" s="2">
        <v>45811</v>
      </c>
      <c r="T753">
        <f t="shared" si="111"/>
        <v>0</v>
      </c>
      <c r="U753" t="s">
        <v>59</v>
      </c>
    </row>
    <row r="754" spans="1:21">
      <c r="A754">
        <v>18</v>
      </c>
      <c r="B754" t="s">
        <v>21</v>
      </c>
      <c r="C754" s="2">
        <v>45810</v>
      </c>
      <c r="D754">
        <v>551</v>
      </c>
      <c r="E754">
        <v>573</v>
      </c>
      <c r="H754">
        <v>0</v>
      </c>
      <c r="I754">
        <f t="shared" si="110"/>
        <v>1124</v>
      </c>
      <c r="J754" t="s">
        <v>59</v>
      </c>
      <c r="L754">
        <v>18</v>
      </c>
      <c r="M754" t="s">
        <v>21</v>
      </c>
      <c r="N754" s="2">
        <v>45811</v>
      </c>
      <c r="T754">
        <f t="shared" si="111"/>
        <v>0</v>
      </c>
      <c r="U754" t="s">
        <v>59</v>
      </c>
    </row>
    <row r="755" spans="1:21">
      <c r="A755">
        <v>19</v>
      </c>
      <c r="B755" t="s">
        <v>104</v>
      </c>
      <c r="C755" s="2">
        <v>45810</v>
      </c>
      <c r="I755">
        <f>D755+E755+H755</f>
        <v>0</v>
      </c>
      <c r="L755">
        <v>19</v>
      </c>
      <c r="M755" t="s">
        <v>104</v>
      </c>
      <c r="N755" s="2">
        <v>45811</v>
      </c>
      <c r="T755">
        <f>O755+P755+S755</f>
        <v>0</v>
      </c>
    </row>
    <row r="756" spans="1:21">
      <c r="A756">
        <v>20</v>
      </c>
      <c r="B756" t="s">
        <v>26</v>
      </c>
      <c r="C756" s="2">
        <v>45810</v>
      </c>
      <c r="I756">
        <f t="shared" ref="I756" si="112">D756+E756+H756</f>
        <v>0</v>
      </c>
      <c r="J756" t="s">
        <v>54</v>
      </c>
      <c r="L756">
        <v>20</v>
      </c>
      <c r="M756" t="s">
        <v>26</v>
      </c>
      <c r="N756" s="2">
        <v>45811</v>
      </c>
      <c r="T756">
        <f t="shared" ref="T756" si="113">O756+P756+S756</f>
        <v>0</v>
      </c>
      <c r="U756" t="s">
        <v>54</v>
      </c>
    </row>
    <row r="757" spans="1:21">
      <c r="B757" t="s">
        <v>8</v>
      </c>
      <c r="D757">
        <f>D737+D738+D739+D740+D741+D742+D744+D743+D745+D746+D747+D748+D749+D750+D752+D754</f>
        <v>1696</v>
      </c>
      <c r="E757">
        <f>SUM(E737:E756)</f>
        <v>2098</v>
      </c>
      <c r="I757">
        <f>I737+I738+I739+I740+I741+I742+I743+I744+I745+I746+I747+I748+I749+I750+I751+I752+I753+I754+I755+I756</f>
        <v>4019</v>
      </c>
      <c r="M757" t="s">
        <v>8</v>
      </c>
      <c r="O757">
        <f>O737+O738+O739+O740+O741+O742+O744+O743+O745+O746+O747+O748+O749+O750+O752+O754</f>
        <v>1201</v>
      </c>
      <c r="P757">
        <f>SUM(P737:P756)</f>
        <v>1481</v>
      </c>
      <c r="T757">
        <f>T737+T738+T739+T740+T741+T742+T743+T744+T745+T746+T747+T748+T749+T750+T751+T752+T753+T754+T755+T756</f>
        <v>3063</v>
      </c>
    </row>
    <row r="760" spans="1:21">
      <c r="B760" t="s">
        <v>38</v>
      </c>
      <c r="C760" t="s">
        <v>245</v>
      </c>
      <c r="M760" t="s">
        <v>38</v>
      </c>
      <c r="N760" t="s">
        <v>246</v>
      </c>
    </row>
    <row r="761" spans="1:21">
      <c r="A761" t="s">
        <v>0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t="s">
        <v>7</v>
      </c>
      <c r="I761" t="s">
        <v>8</v>
      </c>
      <c r="J761" t="s">
        <v>51</v>
      </c>
      <c r="L761" t="s">
        <v>0</v>
      </c>
      <c r="M761" t="s">
        <v>1</v>
      </c>
      <c r="N761" t="s">
        <v>2</v>
      </c>
      <c r="O761" t="s">
        <v>3</v>
      </c>
      <c r="P761" t="s">
        <v>4</v>
      </c>
      <c r="Q761" t="s">
        <v>5</v>
      </c>
      <c r="R761" t="s">
        <v>6</v>
      </c>
      <c r="S761" t="s">
        <v>7</v>
      </c>
      <c r="T761" t="s">
        <v>8</v>
      </c>
      <c r="U761" t="s">
        <v>51</v>
      </c>
    </row>
    <row r="762" spans="1:21">
      <c r="A762">
        <v>1</v>
      </c>
      <c r="B762" t="s">
        <v>9</v>
      </c>
      <c r="C762" s="2">
        <v>45812</v>
      </c>
      <c r="D762">
        <v>24</v>
      </c>
      <c r="E762">
        <v>16</v>
      </c>
      <c r="F762">
        <v>3</v>
      </c>
      <c r="G762">
        <v>2</v>
      </c>
      <c r="H762">
        <v>5</v>
      </c>
      <c r="I762">
        <f>D762+E762+H762</f>
        <v>45</v>
      </c>
      <c r="J762" t="s">
        <v>50</v>
      </c>
      <c r="L762">
        <v>1</v>
      </c>
      <c r="M762" t="s">
        <v>9</v>
      </c>
      <c r="N762" s="2">
        <v>45813</v>
      </c>
      <c r="O762">
        <v>17</v>
      </c>
      <c r="P762">
        <v>18</v>
      </c>
      <c r="Q762">
        <v>2</v>
      </c>
      <c r="R762">
        <v>1</v>
      </c>
      <c r="S762">
        <v>3</v>
      </c>
      <c r="T762">
        <f>O762+P762+S762</f>
        <v>38</v>
      </c>
      <c r="U762" t="s">
        <v>50</v>
      </c>
    </row>
    <row r="763" spans="1:21">
      <c r="A763">
        <v>2</v>
      </c>
      <c r="B763" t="s">
        <v>11</v>
      </c>
      <c r="C763" s="2">
        <v>45812</v>
      </c>
      <c r="D763">
        <v>15</v>
      </c>
      <c r="E763">
        <v>10</v>
      </c>
      <c r="F763">
        <v>6</v>
      </c>
      <c r="G763">
        <v>1</v>
      </c>
      <c r="H763">
        <v>7</v>
      </c>
      <c r="I763">
        <f>D763+E763+H763</f>
        <v>32</v>
      </c>
      <c r="J763" t="s">
        <v>52</v>
      </c>
      <c r="L763">
        <v>2</v>
      </c>
      <c r="M763" t="s">
        <v>11</v>
      </c>
      <c r="N763" s="2">
        <v>45813</v>
      </c>
      <c r="O763">
        <v>16</v>
      </c>
      <c r="P763">
        <v>6</v>
      </c>
      <c r="Q763">
        <v>2</v>
      </c>
      <c r="R763">
        <v>5</v>
      </c>
      <c r="S763">
        <v>7</v>
      </c>
      <c r="T763">
        <f>O763+P763+S763</f>
        <v>29</v>
      </c>
      <c r="U763" t="s">
        <v>52</v>
      </c>
    </row>
    <row r="764" spans="1:21">
      <c r="A764">
        <v>3</v>
      </c>
      <c r="B764" t="s">
        <v>12</v>
      </c>
      <c r="C764" s="2">
        <v>45812</v>
      </c>
      <c r="D764">
        <v>32</v>
      </c>
      <c r="E764">
        <v>31</v>
      </c>
      <c r="H764">
        <v>0</v>
      </c>
      <c r="I764">
        <f>SUM(D764,E764,H764)</f>
        <v>63</v>
      </c>
      <c r="J764" t="s">
        <v>53</v>
      </c>
      <c r="L764">
        <v>3</v>
      </c>
      <c r="M764" t="s">
        <v>12</v>
      </c>
      <c r="N764" s="2">
        <v>45813</v>
      </c>
      <c r="O764">
        <v>109</v>
      </c>
      <c r="P764">
        <v>91</v>
      </c>
      <c r="T764">
        <f>SUM(O764,P764,S764)</f>
        <v>200</v>
      </c>
      <c r="U764" t="s">
        <v>53</v>
      </c>
    </row>
    <row r="765" spans="1:21">
      <c r="A765">
        <v>4</v>
      </c>
      <c r="B765" t="s">
        <v>13</v>
      </c>
      <c r="C765" s="2">
        <v>45812</v>
      </c>
      <c r="D765">
        <v>24</v>
      </c>
      <c r="E765">
        <v>16</v>
      </c>
      <c r="H765">
        <v>1</v>
      </c>
      <c r="I765">
        <f t="shared" ref="I765:I779" si="114">D765+E765+H765</f>
        <v>41</v>
      </c>
      <c r="J765" t="s">
        <v>52</v>
      </c>
      <c r="L765">
        <v>4</v>
      </c>
      <c r="M765" t="s">
        <v>13</v>
      </c>
      <c r="N765" s="2">
        <v>45813</v>
      </c>
      <c r="O765">
        <v>29</v>
      </c>
      <c r="P765">
        <v>20</v>
      </c>
      <c r="S765">
        <v>0</v>
      </c>
      <c r="T765">
        <f t="shared" ref="T765:T779" si="115">O765+P765+S765</f>
        <v>49</v>
      </c>
      <c r="U765" t="s">
        <v>52</v>
      </c>
    </row>
    <row r="766" spans="1:21">
      <c r="A766">
        <v>5</v>
      </c>
      <c r="B766" t="s">
        <v>14</v>
      </c>
      <c r="C766" s="2">
        <v>45812</v>
      </c>
      <c r="D766">
        <v>239</v>
      </c>
      <c r="E766">
        <v>509</v>
      </c>
      <c r="H766">
        <v>188</v>
      </c>
      <c r="I766">
        <f t="shared" si="114"/>
        <v>936</v>
      </c>
      <c r="J766" t="s">
        <v>54</v>
      </c>
      <c r="L766">
        <v>5</v>
      </c>
      <c r="M766" t="s">
        <v>14</v>
      </c>
      <c r="N766" s="2">
        <v>45813</v>
      </c>
      <c r="T766">
        <f t="shared" si="115"/>
        <v>0</v>
      </c>
      <c r="U766" t="s">
        <v>54</v>
      </c>
    </row>
    <row r="767" spans="1:21">
      <c r="A767">
        <v>6</v>
      </c>
      <c r="B767" t="s">
        <v>15</v>
      </c>
      <c r="C767" s="2">
        <v>45812</v>
      </c>
      <c r="D767">
        <v>105</v>
      </c>
      <c r="E767">
        <v>94</v>
      </c>
      <c r="H767">
        <v>0</v>
      </c>
      <c r="I767">
        <f t="shared" si="114"/>
        <v>199</v>
      </c>
      <c r="J767" t="s">
        <v>55</v>
      </c>
      <c r="L767">
        <v>6</v>
      </c>
      <c r="M767" t="s">
        <v>15</v>
      </c>
      <c r="N767" s="2">
        <v>45813</v>
      </c>
      <c r="O767">
        <v>73</v>
      </c>
      <c r="P767">
        <v>51</v>
      </c>
      <c r="S767">
        <v>0</v>
      </c>
      <c r="T767">
        <f t="shared" si="115"/>
        <v>124</v>
      </c>
      <c r="U767" t="s">
        <v>55</v>
      </c>
    </row>
    <row r="768" spans="1:21">
      <c r="A768">
        <v>7</v>
      </c>
      <c r="B768" t="s">
        <v>16</v>
      </c>
      <c r="C768" s="2">
        <v>45812</v>
      </c>
      <c r="I768">
        <f t="shared" si="114"/>
        <v>0</v>
      </c>
      <c r="J768" t="s">
        <v>52</v>
      </c>
      <c r="L768">
        <v>7</v>
      </c>
      <c r="M768" t="s">
        <v>16</v>
      </c>
      <c r="N768" s="2">
        <v>45813</v>
      </c>
      <c r="T768">
        <f t="shared" si="115"/>
        <v>0</v>
      </c>
      <c r="U768" t="s">
        <v>52</v>
      </c>
    </row>
    <row r="769" spans="1:21">
      <c r="A769">
        <v>8</v>
      </c>
      <c r="B769" t="s">
        <v>17</v>
      </c>
      <c r="C769" s="2">
        <v>45812</v>
      </c>
      <c r="D769">
        <v>108</v>
      </c>
      <c r="E769">
        <v>121</v>
      </c>
      <c r="F769">
        <v>7</v>
      </c>
      <c r="G769">
        <v>11</v>
      </c>
      <c r="I769">
        <f t="shared" si="114"/>
        <v>229</v>
      </c>
      <c r="J769" t="s">
        <v>50</v>
      </c>
      <c r="L769">
        <v>8</v>
      </c>
      <c r="M769" t="s">
        <v>17</v>
      </c>
      <c r="N769" s="2">
        <v>45813</v>
      </c>
      <c r="O769">
        <v>13</v>
      </c>
      <c r="P769">
        <v>7</v>
      </c>
      <c r="Q769">
        <v>1</v>
      </c>
      <c r="R769">
        <v>2</v>
      </c>
      <c r="S769">
        <v>3</v>
      </c>
      <c r="T769">
        <f t="shared" si="115"/>
        <v>23</v>
      </c>
      <c r="U769" t="s">
        <v>50</v>
      </c>
    </row>
    <row r="770" spans="1:21">
      <c r="A770">
        <v>9</v>
      </c>
      <c r="B770" t="s">
        <v>18</v>
      </c>
      <c r="C770" s="2">
        <v>45812</v>
      </c>
      <c r="D770">
        <v>48</v>
      </c>
      <c r="E770">
        <v>11</v>
      </c>
      <c r="H770">
        <v>8</v>
      </c>
      <c r="I770">
        <f t="shared" si="114"/>
        <v>67</v>
      </c>
      <c r="J770" t="s">
        <v>56</v>
      </c>
      <c r="L770">
        <v>9</v>
      </c>
      <c r="M770" t="s">
        <v>18</v>
      </c>
      <c r="N770" s="2">
        <v>45813</v>
      </c>
      <c r="O770">
        <v>37</v>
      </c>
      <c r="P770">
        <v>15</v>
      </c>
      <c r="S770">
        <v>8</v>
      </c>
      <c r="T770">
        <f t="shared" si="115"/>
        <v>60</v>
      </c>
      <c r="U770" t="s">
        <v>56</v>
      </c>
    </row>
    <row r="771" spans="1:21">
      <c r="A771">
        <v>10</v>
      </c>
      <c r="B771" t="s">
        <v>19</v>
      </c>
      <c r="C771" s="2">
        <v>45812</v>
      </c>
      <c r="D771">
        <v>106</v>
      </c>
      <c r="E771">
        <v>6</v>
      </c>
      <c r="H771">
        <v>18</v>
      </c>
      <c r="I771">
        <f t="shared" si="114"/>
        <v>130</v>
      </c>
      <c r="J771" t="s">
        <v>53</v>
      </c>
      <c r="L771">
        <v>10</v>
      </c>
      <c r="M771" t="s">
        <v>19</v>
      </c>
      <c r="N771" s="2">
        <v>45813</v>
      </c>
      <c r="O771">
        <v>63</v>
      </c>
      <c r="P771">
        <v>74</v>
      </c>
      <c r="S771">
        <v>23</v>
      </c>
      <c r="T771">
        <f t="shared" si="115"/>
        <v>160</v>
      </c>
      <c r="U771" t="s">
        <v>53</v>
      </c>
    </row>
    <row r="772" spans="1:21">
      <c r="A772">
        <v>11</v>
      </c>
      <c r="B772" t="s">
        <v>25</v>
      </c>
      <c r="C772" s="2">
        <v>45812</v>
      </c>
      <c r="D772">
        <v>6</v>
      </c>
      <c r="E772">
        <v>2</v>
      </c>
      <c r="H772">
        <v>0</v>
      </c>
      <c r="I772">
        <f t="shared" si="114"/>
        <v>8</v>
      </c>
      <c r="J772" t="s">
        <v>54</v>
      </c>
      <c r="L772">
        <v>11</v>
      </c>
      <c r="M772" t="s">
        <v>25</v>
      </c>
      <c r="N772" s="2">
        <v>45813</v>
      </c>
      <c r="T772">
        <f t="shared" si="115"/>
        <v>0</v>
      </c>
      <c r="U772" t="s">
        <v>54</v>
      </c>
    </row>
    <row r="773" spans="1:21">
      <c r="A773">
        <v>12</v>
      </c>
      <c r="B773" t="s">
        <v>27</v>
      </c>
      <c r="C773" s="2">
        <v>45812</v>
      </c>
      <c r="D773">
        <v>198</v>
      </c>
      <c r="E773">
        <v>212</v>
      </c>
      <c r="F773">
        <v>17</v>
      </c>
      <c r="G773">
        <v>20</v>
      </c>
      <c r="H773">
        <v>37</v>
      </c>
      <c r="I773">
        <f t="shared" si="114"/>
        <v>447</v>
      </c>
      <c r="J773" t="s">
        <v>56</v>
      </c>
      <c r="L773">
        <v>12</v>
      </c>
      <c r="M773" t="s">
        <v>27</v>
      </c>
      <c r="N773" s="2">
        <v>45813</v>
      </c>
      <c r="T773">
        <f t="shared" si="115"/>
        <v>0</v>
      </c>
      <c r="U773" t="s">
        <v>56</v>
      </c>
    </row>
    <row r="774" spans="1:21">
      <c r="A774">
        <v>13</v>
      </c>
      <c r="B774" t="s">
        <v>20</v>
      </c>
      <c r="C774" s="2">
        <v>45812</v>
      </c>
      <c r="D774">
        <v>117</v>
      </c>
      <c r="E774">
        <v>77</v>
      </c>
      <c r="F774">
        <v>8</v>
      </c>
      <c r="G774">
        <v>7</v>
      </c>
      <c r="H774">
        <v>15</v>
      </c>
      <c r="I774">
        <f t="shared" si="114"/>
        <v>209</v>
      </c>
      <c r="J774" t="s">
        <v>57</v>
      </c>
      <c r="L774">
        <v>13</v>
      </c>
      <c r="M774" t="s">
        <v>20</v>
      </c>
      <c r="N774" s="2">
        <v>45813</v>
      </c>
      <c r="T774">
        <f t="shared" si="115"/>
        <v>0</v>
      </c>
      <c r="U774" t="s">
        <v>57</v>
      </c>
    </row>
    <row r="775" spans="1:21">
      <c r="A775">
        <v>14</v>
      </c>
      <c r="B775" t="s">
        <v>32</v>
      </c>
      <c r="C775" s="2">
        <v>45812</v>
      </c>
      <c r="I775">
        <f t="shared" si="114"/>
        <v>0</v>
      </c>
      <c r="J775" t="s">
        <v>50</v>
      </c>
      <c r="L775">
        <v>14</v>
      </c>
      <c r="M775" t="s">
        <v>32</v>
      </c>
      <c r="N775" s="2">
        <v>45813</v>
      </c>
      <c r="T775">
        <f t="shared" si="115"/>
        <v>0</v>
      </c>
      <c r="U775" t="s">
        <v>50</v>
      </c>
    </row>
    <row r="776" spans="1:21">
      <c r="A776">
        <v>15</v>
      </c>
      <c r="B776" t="s">
        <v>48</v>
      </c>
      <c r="C776" s="2">
        <v>45812</v>
      </c>
      <c r="I776">
        <f t="shared" si="114"/>
        <v>0</v>
      </c>
      <c r="J776" t="s">
        <v>59</v>
      </c>
      <c r="L776">
        <v>15</v>
      </c>
      <c r="M776" t="s">
        <v>48</v>
      </c>
      <c r="N776" s="2">
        <v>45813</v>
      </c>
      <c r="T776">
        <f t="shared" si="115"/>
        <v>0</v>
      </c>
      <c r="U776" t="s">
        <v>59</v>
      </c>
    </row>
    <row r="777" spans="1:21">
      <c r="A777">
        <v>16</v>
      </c>
      <c r="B777" t="s">
        <v>37</v>
      </c>
      <c r="C777" s="2">
        <v>45812</v>
      </c>
      <c r="D777">
        <v>22</v>
      </c>
      <c r="E777">
        <v>28</v>
      </c>
      <c r="F777">
        <v>1</v>
      </c>
      <c r="G777">
        <v>3</v>
      </c>
      <c r="H777">
        <v>4</v>
      </c>
      <c r="I777">
        <f t="shared" si="114"/>
        <v>54</v>
      </c>
      <c r="J777" t="s">
        <v>55</v>
      </c>
      <c r="L777">
        <v>16</v>
      </c>
      <c r="M777" t="s">
        <v>37</v>
      </c>
      <c r="N777" s="2">
        <v>45813</v>
      </c>
      <c r="T777">
        <f t="shared" si="115"/>
        <v>0</v>
      </c>
      <c r="U777" t="s">
        <v>55</v>
      </c>
    </row>
    <row r="778" spans="1:21">
      <c r="A778">
        <v>17</v>
      </c>
      <c r="B778" t="s">
        <v>49</v>
      </c>
      <c r="C778" s="2">
        <v>45812</v>
      </c>
      <c r="I778">
        <f t="shared" si="114"/>
        <v>0</v>
      </c>
      <c r="J778" t="s">
        <v>59</v>
      </c>
      <c r="L778">
        <v>17</v>
      </c>
      <c r="M778" t="s">
        <v>49</v>
      </c>
      <c r="N778" s="2">
        <v>45813</v>
      </c>
      <c r="T778">
        <f t="shared" si="115"/>
        <v>0</v>
      </c>
      <c r="U778" t="s">
        <v>59</v>
      </c>
    </row>
    <row r="779" spans="1:21">
      <c r="A779">
        <v>18</v>
      </c>
      <c r="B779" t="s">
        <v>21</v>
      </c>
      <c r="C779" s="2">
        <v>45812</v>
      </c>
      <c r="D779">
        <v>293</v>
      </c>
      <c r="E779">
        <v>308</v>
      </c>
      <c r="H779">
        <v>0</v>
      </c>
      <c r="I779">
        <f t="shared" si="114"/>
        <v>601</v>
      </c>
      <c r="J779" t="s">
        <v>59</v>
      </c>
      <c r="L779">
        <v>18</v>
      </c>
      <c r="M779" t="s">
        <v>21</v>
      </c>
      <c r="N779" s="2">
        <v>45813</v>
      </c>
      <c r="O779">
        <v>291</v>
      </c>
      <c r="P779">
        <v>317</v>
      </c>
      <c r="S779">
        <v>0</v>
      </c>
      <c r="T779">
        <f t="shared" si="115"/>
        <v>608</v>
      </c>
      <c r="U779" t="s">
        <v>59</v>
      </c>
    </row>
    <row r="780" spans="1:21">
      <c r="A780">
        <v>19</v>
      </c>
      <c r="B780" t="s">
        <v>104</v>
      </c>
      <c r="C780" s="2">
        <v>45812</v>
      </c>
      <c r="I780">
        <f>D780+E780+H780</f>
        <v>0</v>
      </c>
      <c r="L780">
        <v>19</v>
      </c>
      <c r="M780" t="s">
        <v>104</v>
      </c>
      <c r="N780" s="2">
        <v>45813</v>
      </c>
      <c r="T780">
        <f>O780+P780+S780</f>
        <v>0</v>
      </c>
    </row>
    <row r="781" spans="1:21">
      <c r="A781">
        <v>20</v>
      </c>
      <c r="B781" t="s">
        <v>26</v>
      </c>
      <c r="C781" s="2">
        <v>45812</v>
      </c>
      <c r="I781">
        <f t="shared" ref="I781" si="116">D781+E781+H781</f>
        <v>0</v>
      </c>
      <c r="J781" t="s">
        <v>54</v>
      </c>
      <c r="L781">
        <v>20</v>
      </c>
      <c r="M781" t="s">
        <v>26</v>
      </c>
      <c r="N781" s="2">
        <v>45813</v>
      </c>
      <c r="T781">
        <f t="shared" ref="T781" si="117">O781+P781+S781</f>
        <v>0</v>
      </c>
      <c r="U781" t="s">
        <v>54</v>
      </c>
    </row>
    <row r="782" spans="1:21">
      <c r="B782" t="s">
        <v>8</v>
      </c>
      <c r="D782">
        <f>D762+D763+D764+D765+D766+D767+D769+D768+D770+D771+D772+D773+D774+D775+D777+D779</f>
        <v>1337</v>
      </c>
      <c r="E782">
        <f>SUM(E762:E781)</f>
        <v>1441</v>
      </c>
      <c r="I782">
        <f>I762+I763+I764+I765+I766+I767+I768+I769+I770+I771+I772+I773+I774+I775+I776+I777+I778+I779+I780+I781</f>
        <v>3061</v>
      </c>
      <c r="M782" t="s">
        <v>8</v>
      </c>
      <c r="O782">
        <f>O762+O763+O764+O765+O766+O767+O769+O768+O770+O771+O772+O773+O774+O775+O777+O779</f>
        <v>648</v>
      </c>
      <c r="P782">
        <f>SUM(P762:P781)</f>
        <v>599</v>
      </c>
      <c r="T782">
        <f>T762+T763+T764+T765+T766+T767+T768+T769+T770+T771+T772+T773+T774+T775+T776+T777+T778+T779+T780+T781</f>
        <v>1291</v>
      </c>
    </row>
    <row r="785" spans="1:21">
      <c r="B785" t="s">
        <v>38</v>
      </c>
      <c r="C785" t="s">
        <v>247</v>
      </c>
      <c r="M785" t="s">
        <v>38</v>
      </c>
      <c r="N785" t="s">
        <v>248</v>
      </c>
    </row>
    <row r="786" spans="1:21">
      <c r="A786" t="s">
        <v>0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t="s">
        <v>7</v>
      </c>
      <c r="I786" t="s">
        <v>8</v>
      </c>
      <c r="J786" t="s">
        <v>51</v>
      </c>
      <c r="L786" t="s">
        <v>0</v>
      </c>
      <c r="M786" t="s">
        <v>1</v>
      </c>
      <c r="N786" t="s">
        <v>2</v>
      </c>
      <c r="O786" t="s">
        <v>3</v>
      </c>
      <c r="P786" t="s">
        <v>4</v>
      </c>
      <c r="Q786" t="s">
        <v>5</v>
      </c>
      <c r="R786" t="s">
        <v>6</v>
      </c>
      <c r="S786" t="s">
        <v>7</v>
      </c>
      <c r="T786" t="s">
        <v>8</v>
      </c>
      <c r="U786" t="s">
        <v>51</v>
      </c>
    </row>
    <row r="787" spans="1:21">
      <c r="A787">
        <v>1</v>
      </c>
      <c r="B787" t="s">
        <v>9</v>
      </c>
      <c r="C787" s="2">
        <v>45814</v>
      </c>
      <c r="D787">
        <v>33</v>
      </c>
      <c r="E787">
        <v>21</v>
      </c>
      <c r="F787">
        <v>3</v>
      </c>
      <c r="G787">
        <v>5</v>
      </c>
      <c r="H787">
        <v>8</v>
      </c>
      <c r="I787">
        <f>D787+E787+H787</f>
        <v>62</v>
      </c>
      <c r="J787" t="s">
        <v>50</v>
      </c>
      <c r="L787">
        <v>1</v>
      </c>
      <c r="M787" t="s">
        <v>9</v>
      </c>
      <c r="N787" s="2">
        <v>45815</v>
      </c>
      <c r="O787">
        <v>23</v>
      </c>
      <c r="P787">
        <v>20</v>
      </c>
      <c r="Q787">
        <v>2</v>
      </c>
      <c r="R787">
        <v>4</v>
      </c>
      <c r="S787">
        <v>6</v>
      </c>
      <c r="T787">
        <f>O787+P787+S787</f>
        <v>49</v>
      </c>
      <c r="U787" t="s">
        <v>50</v>
      </c>
    </row>
    <row r="788" spans="1:21">
      <c r="A788">
        <v>2</v>
      </c>
      <c r="B788" t="s">
        <v>11</v>
      </c>
      <c r="C788" s="2">
        <v>45814</v>
      </c>
      <c r="D788">
        <v>17</v>
      </c>
      <c r="E788">
        <v>13</v>
      </c>
      <c r="F788">
        <v>2</v>
      </c>
      <c r="G788">
        <v>3</v>
      </c>
      <c r="H788">
        <v>5</v>
      </c>
      <c r="I788">
        <f>D788+E788+H788</f>
        <v>35</v>
      </c>
      <c r="J788" t="s">
        <v>52</v>
      </c>
      <c r="L788">
        <v>2</v>
      </c>
      <c r="M788" t="s">
        <v>11</v>
      </c>
      <c r="N788" s="2">
        <v>45815</v>
      </c>
      <c r="O788">
        <v>14</v>
      </c>
      <c r="P788">
        <v>13</v>
      </c>
      <c r="Q788">
        <v>4</v>
      </c>
      <c r="R788">
        <v>8</v>
      </c>
      <c r="S788">
        <v>12</v>
      </c>
      <c r="T788">
        <f>O788+P788+S788</f>
        <v>39</v>
      </c>
      <c r="U788" t="s">
        <v>52</v>
      </c>
    </row>
    <row r="789" spans="1:21">
      <c r="A789">
        <v>3</v>
      </c>
      <c r="B789" t="s">
        <v>12</v>
      </c>
      <c r="C789" s="2">
        <v>45814</v>
      </c>
      <c r="D789">
        <v>15</v>
      </c>
      <c r="E789">
        <v>19</v>
      </c>
      <c r="H789">
        <v>0</v>
      </c>
      <c r="I789">
        <f>SUM(D789,E789,H789)</f>
        <v>34</v>
      </c>
      <c r="J789" t="s">
        <v>53</v>
      </c>
      <c r="L789">
        <v>3</v>
      </c>
      <c r="M789" t="s">
        <v>12</v>
      </c>
      <c r="N789" s="2">
        <v>45815</v>
      </c>
      <c r="O789">
        <v>47</v>
      </c>
      <c r="P789">
        <v>31</v>
      </c>
      <c r="T789">
        <f>SUM(O789,P789,S789)</f>
        <v>78</v>
      </c>
      <c r="U789" t="s">
        <v>53</v>
      </c>
    </row>
    <row r="790" spans="1:21">
      <c r="A790">
        <v>4</v>
      </c>
      <c r="B790" t="s">
        <v>13</v>
      </c>
      <c r="C790" s="2">
        <v>45814</v>
      </c>
      <c r="D790">
        <v>23</v>
      </c>
      <c r="E790">
        <v>7</v>
      </c>
      <c r="H790">
        <v>1</v>
      </c>
      <c r="I790">
        <f t="shared" ref="I790:I804" si="118">D790+E790+H790</f>
        <v>31</v>
      </c>
      <c r="J790" t="s">
        <v>52</v>
      </c>
      <c r="L790">
        <v>4</v>
      </c>
      <c r="M790" t="s">
        <v>13</v>
      </c>
      <c r="N790" s="2">
        <v>45815</v>
      </c>
      <c r="O790">
        <v>17</v>
      </c>
      <c r="P790">
        <v>9</v>
      </c>
      <c r="S790">
        <v>5</v>
      </c>
      <c r="T790">
        <f t="shared" ref="T790:T804" si="119">O790+P790+S790</f>
        <v>31</v>
      </c>
      <c r="U790" t="s">
        <v>52</v>
      </c>
    </row>
    <row r="791" spans="1:21">
      <c r="A791">
        <v>5</v>
      </c>
      <c r="B791" t="s">
        <v>14</v>
      </c>
      <c r="C791" s="2">
        <v>45814</v>
      </c>
      <c r="D791">
        <v>236</v>
      </c>
      <c r="E791">
        <v>285</v>
      </c>
      <c r="H791">
        <v>69</v>
      </c>
      <c r="I791">
        <f t="shared" si="118"/>
        <v>590</v>
      </c>
      <c r="J791" t="s">
        <v>54</v>
      </c>
      <c r="L791">
        <v>5</v>
      </c>
      <c r="M791" t="s">
        <v>14</v>
      </c>
      <c r="N791" s="2">
        <v>45815</v>
      </c>
      <c r="O791">
        <v>208</v>
      </c>
      <c r="P791">
        <v>239</v>
      </c>
      <c r="S791">
        <v>45</v>
      </c>
      <c r="T791">
        <f t="shared" si="119"/>
        <v>492</v>
      </c>
      <c r="U791" t="s">
        <v>54</v>
      </c>
    </row>
    <row r="792" spans="1:21">
      <c r="A792">
        <v>6</v>
      </c>
      <c r="B792" t="s">
        <v>15</v>
      </c>
      <c r="C792" s="2">
        <v>45814</v>
      </c>
      <c r="D792">
        <v>78</v>
      </c>
      <c r="E792">
        <v>39</v>
      </c>
      <c r="H792">
        <v>0</v>
      </c>
      <c r="I792">
        <f t="shared" si="118"/>
        <v>117</v>
      </c>
      <c r="J792" t="s">
        <v>55</v>
      </c>
      <c r="L792">
        <v>6</v>
      </c>
      <c r="M792" t="s">
        <v>15</v>
      </c>
      <c r="N792" s="2">
        <v>45815</v>
      </c>
      <c r="O792">
        <v>67</v>
      </c>
      <c r="P792">
        <v>58</v>
      </c>
      <c r="S792">
        <v>0</v>
      </c>
      <c r="T792">
        <f t="shared" si="119"/>
        <v>125</v>
      </c>
      <c r="U792" t="s">
        <v>55</v>
      </c>
    </row>
    <row r="793" spans="1:21">
      <c r="A793">
        <v>7</v>
      </c>
      <c r="B793" t="s">
        <v>16</v>
      </c>
      <c r="C793" s="2">
        <v>45814</v>
      </c>
      <c r="D793">
        <v>71</v>
      </c>
      <c r="E793">
        <v>50</v>
      </c>
      <c r="H793">
        <v>0</v>
      </c>
      <c r="I793">
        <f t="shared" si="118"/>
        <v>121</v>
      </c>
      <c r="J793" t="s">
        <v>52</v>
      </c>
      <c r="L793">
        <v>7</v>
      </c>
      <c r="M793" t="s">
        <v>16</v>
      </c>
      <c r="N793" s="2">
        <v>45815</v>
      </c>
      <c r="O793">
        <v>44</v>
      </c>
      <c r="P793">
        <v>60</v>
      </c>
      <c r="S793">
        <v>0</v>
      </c>
      <c r="T793">
        <f t="shared" si="119"/>
        <v>104</v>
      </c>
      <c r="U793" t="s">
        <v>52</v>
      </c>
    </row>
    <row r="794" spans="1:21">
      <c r="A794">
        <v>8</v>
      </c>
      <c r="B794" t="s">
        <v>17</v>
      </c>
      <c r="C794" s="2">
        <v>45814</v>
      </c>
      <c r="D794">
        <v>205</v>
      </c>
      <c r="E794">
        <v>185</v>
      </c>
      <c r="F794">
        <v>12</v>
      </c>
      <c r="G794">
        <v>20</v>
      </c>
      <c r="H794">
        <v>32</v>
      </c>
      <c r="I794">
        <f t="shared" si="118"/>
        <v>422</v>
      </c>
      <c r="J794" t="s">
        <v>50</v>
      </c>
      <c r="L794">
        <v>8</v>
      </c>
      <c r="M794" t="s">
        <v>17</v>
      </c>
      <c r="N794" s="2">
        <v>45815</v>
      </c>
      <c r="O794">
        <v>21</v>
      </c>
      <c r="P794">
        <v>10</v>
      </c>
      <c r="S794">
        <v>2</v>
      </c>
      <c r="T794">
        <f t="shared" si="119"/>
        <v>33</v>
      </c>
      <c r="U794" t="s">
        <v>50</v>
      </c>
    </row>
    <row r="795" spans="1:21">
      <c r="A795">
        <v>9</v>
      </c>
      <c r="B795" t="s">
        <v>18</v>
      </c>
      <c r="C795" s="2">
        <v>45814</v>
      </c>
      <c r="D795">
        <v>31</v>
      </c>
      <c r="E795">
        <v>4</v>
      </c>
      <c r="H795">
        <v>5</v>
      </c>
      <c r="I795">
        <f t="shared" si="118"/>
        <v>40</v>
      </c>
      <c r="J795" t="s">
        <v>56</v>
      </c>
      <c r="L795">
        <v>9</v>
      </c>
      <c r="M795" t="s">
        <v>18</v>
      </c>
      <c r="N795" s="2">
        <v>45815</v>
      </c>
      <c r="O795">
        <v>34</v>
      </c>
      <c r="P795">
        <v>12</v>
      </c>
      <c r="S795">
        <v>6</v>
      </c>
      <c r="T795">
        <f t="shared" si="119"/>
        <v>52</v>
      </c>
      <c r="U795" t="s">
        <v>56</v>
      </c>
    </row>
    <row r="796" spans="1:21">
      <c r="A796">
        <v>10</v>
      </c>
      <c r="B796" t="s">
        <v>19</v>
      </c>
      <c r="C796" s="2">
        <v>45814</v>
      </c>
      <c r="D796">
        <v>114</v>
      </c>
      <c r="E796">
        <v>84</v>
      </c>
      <c r="H796">
        <v>40</v>
      </c>
      <c r="I796">
        <f t="shared" si="118"/>
        <v>238</v>
      </c>
      <c r="J796" t="s">
        <v>53</v>
      </c>
      <c r="L796">
        <v>10</v>
      </c>
      <c r="M796" t="s">
        <v>19</v>
      </c>
      <c r="N796" s="2">
        <v>45815</v>
      </c>
      <c r="O796">
        <v>126</v>
      </c>
      <c r="P796">
        <v>96</v>
      </c>
      <c r="S796">
        <v>43</v>
      </c>
      <c r="T796">
        <f t="shared" si="119"/>
        <v>265</v>
      </c>
      <c r="U796" t="s">
        <v>53</v>
      </c>
    </row>
    <row r="797" spans="1:21">
      <c r="A797">
        <v>11</v>
      </c>
      <c r="B797" t="s">
        <v>25</v>
      </c>
      <c r="C797" s="2">
        <v>45814</v>
      </c>
      <c r="D797">
        <v>9</v>
      </c>
      <c r="E797">
        <v>1</v>
      </c>
      <c r="H797">
        <v>0</v>
      </c>
      <c r="I797">
        <f t="shared" si="118"/>
        <v>10</v>
      </c>
      <c r="J797" t="s">
        <v>54</v>
      </c>
      <c r="L797">
        <v>11</v>
      </c>
      <c r="M797" t="s">
        <v>25</v>
      </c>
      <c r="N797" s="2">
        <v>45815</v>
      </c>
      <c r="O797">
        <v>10</v>
      </c>
      <c r="P797">
        <v>2</v>
      </c>
      <c r="S797">
        <v>0</v>
      </c>
      <c r="T797">
        <f t="shared" si="119"/>
        <v>12</v>
      </c>
      <c r="U797" t="s">
        <v>54</v>
      </c>
    </row>
    <row r="798" spans="1:21">
      <c r="A798">
        <v>12</v>
      </c>
      <c r="B798" t="s">
        <v>27</v>
      </c>
      <c r="C798" s="2">
        <v>45814</v>
      </c>
      <c r="I798">
        <f t="shared" si="118"/>
        <v>0</v>
      </c>
      <c r="J798" t="s">
        <v>56</v>
      </c>
      <c r="L798">
        <v>12</v>
      </c>
      <c r="M798" t="s">
        <v>27</v>
      </c>
      <c r="N798" s="2">
        <v>45815</v>
      </c>
      <c r="T798">
        <f t="shared" si="119"/>
        <v>0</v>
      </c>
      <c r="U798" t="s">
        <v>56</v>
      </c>
    </row>
    <row r="799" spans="1:21">
      <c r="A799">
        <v>13</v>
      </c>
      <c r="B799" t="s">
        <v>20</v>
      </c>
      <c r="C799" s="2">
        <v>45814</v>
      </c>
      <c r="D799">
        <v>123</v>
      </c>
      <c r="E799">
        <v>83</v>
      </c>
      <c r="F799">
        <v>11</v>
      </c>
      <c r="G799">
        <v>7</v>
      </c>
      <c r="H799">
        <v>18</v>
      </c>
      <c r="I799">
        <f t="shared" si="118"/>
        <v>224</v>
      </c>
      <c r="J799" t="s">
        <v>57</v>
      </c>
      <c r="L799">
        <v>13</v>
      </c>
      <c r="M799" t="s">
        <v>20</v>
      </c>
      <c r="N799" s="2">
        <v>45815</v>
      </c>
      <c r="O799">
        <v>81</v>
      </c>
      <c r="P799">
        <v>63</v>
      </c>
      <c r="Q799">
        <v>7</v>
      </c>
      <c r="R799">
        <v>6</v>
      </c>
      <c r="S799">
        <v>13</v>
      </c>
      <c r="T799">
        <f t="shared" si="119"/>
        <v>157</v>
      </c>
      <c r="U799" t="s">
        <v>57</v>
      </c>
    </row>
    <row r="800" spans="1:21">
      <c r="A800">
        <v>14</v>
      </c>
      <c r="B800" t="s">
        <v>32</v>
      </c>
      <c r="C800" s="2">
        <v>45814</v>
      </c>
      <c r="I800">
        <f t="shared" si="118"/>
        <v>0</v>
      </c>
      <c r="J800" t="s">
        <v>50</v>
      </c>
      <c r="L800">
        <v>14</v>
      </c>
      <c r="M800" t="s">
        <v>32</v>
      </c>
      <c r="N800" s="2">
        <v>45815</v>
      </c>
      <c r="O800">
        <v>19</v>
      </c>
      <c r="P800">
        <v>19</v>
      </c>
      <c r="Q800">
        <v>2</v>
      </c>
      <c r="R800">
        <v>4</v>
      </c>
      <c r="S800">
        <v>6</v>
      </c>
      <c r="T800">
        <f t="shared" si="119"/>
        <v>44</v>
      </c>
      <c r="U800" t="s">
        <v>50</v>
      </c>
    </row>
    <row r="801" spans="1:21">
      <c r="A801">
        <v>15</v>
      </c>
      <c r="B801" t="s">
        <v>48</v>
      </c>
      <c r="C801" s="2">
        <v>45814</v>
      </c>
      <c r="I801">
        <f t="shared" si="118"/>
        <v>0</v>
      </c>
      <c r="J801" t="s">
        <v>59</v>
      </c>
      <c r="L801">
        <v>15</v>
      </c>
      <c r="M801" t="s">
        <v>48</v>
      </c>
      <c r="N801" s="2">
        <v>45815</v>
      </c>
      <c r="T801">
        <f t="shared" si="119"/>
        <v>0</v>
      </c>
      <c r="U801" t="s">
        <v>59</v>
      </c>
    </row>
    <row r="802" spans="1:21">
      <c r="A802">
        <v>16</v>
      </c>
      <c r="B802" t="s">
        <v>37</v>
      </c>
      <c r="C802" s="2">
        <v>45814</v>
      </c>
      <c r="I802">
        <f t="shared" si="118"/>
        <v>0</v>
      </c>
      <c r="J802" t="s">
        <v>55</v>
      </c>
      <c r="L802">
        <v>16</v>
      </c>
      <c r="M802" t="s">
        <v>37</v>
      </c>
      <c r="N802" s="2">
        <v>45815</v>
      </c>
      <c r="O802">
        <v>26</v>
      </c>
      <c r="P802">
        <v>27</v>
      </c>
      <c r="Q802">
        <v>2</v>
      </c>
      <c r="R802">
        <v>1</v>
      </c>
      <c r="S802">
        <v>3</v>
      </c>
      <c r="T802">
        <f t="shared" si="119"/>
        <v>56</v>
      </c>
      <c r="U802" t="s">
        <v>55</v>
      </c>
    </row>
    <row r="803" spans="1:21">
      <c r="A803">
        <v>17</v>
      </c>
      <c r="B803" t="s">
        <v>49</v>
      </c>
      <c r="C803" s="2">
        <v>45814</v>
      </c>
      <c r="I803">
        <f t="shared" si="118"/>
        <v>0</v>
      </c>
      <c r="J803" t="s">
        <v>59</v>
      </c>
      <c r="L803">
        <v>17</v>
      </c>
      <c r="M803" t="s">
        <v>49</v>
      </c>
      <c r="N803" s="2">
        <v>45815</v>
      </c>
      <c r="T803">
        <f t="shared" si="119"/>
        <v>0</v>
      </c>
      <c r="U803" t="s">
        <v>59</v>
      </c>
    </row>
    <row r="804" spans="1:21">
      <c r="A804">
        <v>18</v>
      </c>
      <c r="B804" t="s">
        <v>21</v>
      </c>
      <c r="C804" s="2">
        <v>45814</v>
      </c>
      <c r="I804">
        <f t="shared" si="118"/>
        <v>0</v>
      </c>
      <c r="J804" t="s">
        <v>59</v>
      </c>
      <c r="L804">
        <v>18</v>
      </c>
      <c r="M804" t="s">
        <v>21</v>
      </c>
      <c r="N804" s="2">
        <v>45815</v>
      </c>
      <c r="O804">
        <v>306</v>
      </c>
      <c r="P804">
        <v>368</v>
      </c>
      <c r="S804">
        <v>0</v>
      </c>
      <c r="T804">
        <f t="shared" si="119"/>
        <v>674</v>
      </c>
      <c r="U804" t="s">
        <v>59</v>
      </c>
    </row>
    <row r="805" spans="1:21">
      <c r="A805">
        <v>19</v>
      </c>
      <c r="B805" t="s">
        <v>104</v>
      </c>
      <c r="C805" s="2">
        <v>45814</v>
      </c>
      <c r="I805">
        <f>D805+E805+H805</f>
        <v>0</v>
      </c>
      <c r="L805">
        <v>19</v>
      </c>
      <c r="M805" t="s">
        <v>104</v>
      </c>
      <c r="N805" s="2">
        <v>45815</v>
      </c>
      <c r="T805">
        <f>O805+P805+S805</f>
        <v>0</v>
      </c>
    </row>
    <row r="806" spans="1:21">
      <c r="A806">
        <v>20</v>
      </c>
      <c r="B806" t="s">
        <v>26</v>
      </c>
      <c r="C806" s="2">
        <v>45814</v>
      </c>
      <c r="I806">
        <f t="shared" ref="I806" si="120">D806+E806+H806</f>
        <v>0</v>
      </c>
      <c r="J806" t="s">
        <v>54</v>
      </c>
      <c r="L806">
        <v>20</v>
      </c>
      <c r="M806" t="s">
        <v>26</v>
      </c>
      <c r="N806" s="2">
        <v>45815</v>
      </c>
      <c r="T806">
        <f t="shared" ref="T806" si="121">O806+P806+S806</f>
        <v>0</v>
      </c>
      <c r="U806" t="s">
        <v>54</v>
      </c>
    </row>
    <row r="807" spans="1:21">
      <c r="B807" t="s">
        <v>8</v>
      </c>
      <c r="D807">
        <f>D787+D788+D789+D790+D791+D792+D794+D793+D795+D796+D797+D798+D799+D800+D802+D804</f>
        <v>955</v>
      </c>
      <c r="E807">
        <f>SUM(E787:E806)</f>
        <v>791</v>
      </c>
      <c r="I807">
        <f>I787+I788+I789+I790+I791+I792+I793+I794+I795+I796+I797+I798+I799+I800+I801+I802+I803+I804+I805+I806</f>
        <v>1924</v>
      </c>
      <c r="M807" t="s">
        <v>8</v>
      </c>
      <c r="O807">
        <f>O787+O788+O789+O790+O791+O792+O794+O793+O795+O796+O797+O798+O799+O800+O802+O804</f>
        <v>1043</v>
      </c>
      <c r="P807">
        <f>SUM(P787:P806)</f>
        <v>1027</v>
      </c>
      <c r="T807">
        <f>T787+T788+T789+T790+T791+T792+T793+T794+T795+T796+T797+T798+T799+T800+T801+T802+T803+T804+T805+T806</f>
        <v>2211</v>
      </c>
    </row>
    <row r="810" spans="1:21">
      <c r="B810" t="s">
        <v>38</v>
      </c>
      <c r="C810" t="s">
        <v>249</v>
      </c>
      <c r="M810" t="s">
        <v>38</v>
      </c>
      <c r="N810" t="s">
        <v>250</v>
      </c>
    </row>
    <row r="811" spans="1:21">
      <c r="A811" t="s">
        <v>0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t="s">
        <v>7</v>
      </c>
      <c r="I811" t="s">
        <v>8</v>
      </c>
      <c r="J811" t="s">
        <v>51</v>
      </c>
      <c r="L811" t="s">
        <v>0</v>
      </c>
      <c r="M811" t="s">
        <v>1</v>
      </c>
      <c r="N811" t="s">
        <v>2</v>
      </c>
      <c r="O811" t="s">
        <v>3</v>
      </c>
      <c r="P811" t="s">
        <v>4</v>
      </c>
      <c r="Q811" t="s">
        <v>5</v>
      </c>
      <c r="R811" t="s">
        <v>6</v>
      </c>
      <c r="S811" t="s">
        <v>7</v>
      </c>
      <c r="T811" t="s">
        <v>8</v>
      </c>
      <c r="U811" t="s">
        <v>51</v>
      </c>
    </row>
    <row r="812" spans="1:21">
      <c r="A812">
        <v>1</v>
      </c>
      <c r="B812" t="s">
        <v>9</v>
      </c>
      <c r="C812" s="2">
        <v>45816</v>
      </c>
      <c r="D812">
        <v>11</v>
      </c>
      <c r="E812">
        <v>9</v>
      </c>
      <c r="F812">
        <v>2</v>
      </c>
      <c r="G812">
        <v>1</v>
      </c>
      <c r="H812">
        <v>3</v>
      </c>
      <c r="I812">
        <f>D812+E812+H812</f>
        <v>23</v>
      </c>
      <c r="J812" t="s">
        <v>50</v>
      </c>
      <c r="L812">
        <v>1</v>
      </c>
      <c r="M812" t="s">
        <v>9</v>
      </c>
      <c r="N812" s="2">
        <v>45817</v>
      </c>
      <c r="O812">
        <v>34</v>
      </c>
      <c r="P812">
        <v>19</v>
      </c>
      <c r="Q812">
        <v>8</v>
      </c>
      <c r="R812">
        <v>8</v>
      </c>
      <c r="S812">
        <v>16</v>
      </c>
      <c r="T812">
        <f>O812+P812+S812</f>
        <v>69</v>
      </c>
      <c r="U812" t="s">
        <v>50</v>
      </c>
    </row>
    <row r="813" spans="1:21">
      <c r="A813">
        <v>2</v>
      </c>
      <c r="B813" t="s">
        <v>11</v>
      </c>
      <c r="C813" s="2">
        <v>45816</v>
      </c>
      <c r="D813">
        <v>12</v>
      </c>
      <c r="E813">
        <v>10</v>
      </c>
      <c r="F813">
        <v>4</v>
      </c>
      <c r="G813">
        <v>4</v>
      </c>
      <c r="H813">
        <v>8</v>
      </c>
      <c r="I813">
        <f>D813+E813+H813</f>
        <v>30</v>
      </c>
      <c r="J813" t="s">
        <v>52</v>
      </c>
      <c r="L813">
        <v>2</v>
      </c>
      <c r="M813" t="s">
        <v>11</v>
      </c>
      <c r="N813" s="2">
        <v>45817</v>
      </c>
      <c r="O813">
        <v>13</v>
      </c>
      <c r="P813">
        <v>8</v>
      </c>
      <c r="Q813">
        <v>12</v>
      </c>
      <c r="R813">
        <v>5</v>
      </c>
      <c r="S813">
        <v>17</v>
      </c>
      <c r="T813">
        <f>O813+P813+S813</f>
        <v>38</v>
      </c>
      <c r="U813" t="s">
        <v>52</v>
      </c>
    </row>
    <row r="814" spans="1:21">
      <c r="A814">
        <v>3</v>
      </c>
      <c r="B814" t="s">
        <v>12</v>
      </c>
      <c r="C814" s="2">
        <v>45816</v>
      </c>
      <c r="I814">
        <f>SUM(D814,E814,H814)</f>
        <v>0</v>
      </c>
      <c r="J814" t="s">
        <v>53</v>
      </c>
      <c r="L814">
        <v>3</v>
      </c>
      <c r="M814" t="s">
        <v>12</v>
      </c>
      <c r="N814" s="2">
        <v>45817</v>
      </c>
      <c r="O814">
        <v>27</v>
      </c>
      <c r="P814">
        <v>39</v>
      </c>
      <c r="S814">
        <v>0</v>
      </c>
      <c r="T814">
        <f>SUM(O814,P814,S814)</f>
        <v>66</v>
      </c>
      <c r="U814" t="s">
        <v>53</v>
      </c>
    </row>
    <row r="815" spans="1:21">
      <c r="A815">
        <v>4</v>
      </c>
      <c r="B815" t="s">
        <v>13</v>
      </c>
      <c r="C815" s="2">
        <v>45816</v>
      </c>
      <c r="D815">
        <v>22</v>
      </c>
      <c r="E815">
        <v>13</v>
      </c>
      <c r="H815">
        <v>2</v>
      </c>
      <c r="I815">
        <f t="shared" ref="I815:I829" si="122">D815+E815+H815</f>
        <v>37</v>
      </c>
      <c r="J815" t="s">
        <v>52</v>
      </c>
      <c r="L815">
        <v>4</v>
      </c>
      <c r="M815" t="s">
        <v>13</v>
      </c>
      <c r="N815" s="2">
        <v>45817</v>
      </c>
      <c r="O815">
        <v>40</v>
      </c>
      <c r="P815">
        <v>13</v>
      </c>
      <c r="S815">
        <v>3</v>
      </c>
      <c r="T815">
        <f t="shared" ref="T815:T829" si="123">O815+P815+S815</f>
        <v>56</v>
      </c>
      <c r="U815" t="s">
        <v>52</v>
      </c>
    </row>
    <row r="816" spans="1:21">
      <c r="A816">
        <v>5</v>
      </c>
      <c r="B816" t="s">
        <v>14</v>
      </c>
      <c r="C816" s="2">
        <v>45816</v>
      </c>
      <c r="D816">
        <v>32</v>
      </c>
      <c r="E816">
        <v>56</v>
      </c>
      <c r="H816">
        <v>14</v>
      </c>
      <c r="I816">
        <f t="shared" si="122"/>
        <v>102</v>
      </c>
      <c r="J816" t="s">
        <v>54</v>
      </c>
      <c r="L816">
        <v>5</v>
      </c>
      <c r="M816" t="s">
        <v>14</v>
      </c>
      <c r="N816" s="2">
        <v>45817</v>
      </c>
      <c r="O816">
        <v>316</v>
      </c>
      <c r="P816">
        <v>545</v>
      </c>
      <c r="T816">
        <f t="shared" si="123"/>
        <v>861</v>
      </c>
      <c r="U816" t="s">
        <v>54</v>
      </c>
    </row>
    <row r="817" spans="1:21">
      <c r="A817">
        <v>6</v>
      </c>
      <c r="B817" t="s">
        <v>15</v>
      </c>
      <c r="C817" s="2">
        <v>45816</v>
      </c>
      <c r="D817">
        <v>87</v>
      </c>
      <c r="E817">
        <v>54</v>
      </c>
      <c r="H817">
        <v>0</v>
      </c>
      <c r="I817">
        <f t="shared" si="122"/>
        <v>141</v>
      </c>
      <c r="J817" t="s">
        <v>55</v>
      </c>
      <c r="L817">
        <v>6</v>
      </c>
      <c r="M817" t="s">
        <v>15</v>
      </c>
      <c r="N817" s="2">
        <v>45817</v>
      </c>
      <c r="O817">
        <v>90</v>
      </c>
      <c r="P817">
        <v>44</v>
      </c>
      <c r="S817">
        <v>0</v>
      </c>
      <c r="T817">
        <f t="shared" si="123"/>
        <v>134</v>
      </c>
      <c r="U817" t="s">
        <v>55</v>
      </c>
    </row>
    <row r="818" spans="1:21">
      <c r="A818">
        <v>7</v>
      </c>
      <c r="B818" t="s">
        <v>16</v>
      </c>
      <c r="C818" s="2">
        <v>45816</v>
      </c>
      <c r="D818">
        <v>48</v>
      </c>
      <c r="E818">
        <v>60</v>
      </c>
      <c r="H818">
        <v>0</v>
      </c>
      <c r="I818">
        <f t="shared" si="122"/>
        <v>108</v>
      </c>
      <c r="J818" t="s">
        <v>52</v>
      </c>
      <c r="L818">
        <v>7</v>
      </c>
      <c r="M818" t="s">
        <v>16</v>
      </c>
      <c r="N818" s="2">
        <v>45817</v>
      </c>
      <c r="T818">
        <f t="shared" si="123"/>
        <v>0</v>
      </c>
      <c r="U818" t="s">
        <v>52</v>
      </c>
    </row>
    <row r="819" spans="1:21">
      <c r="A819">
        <v>8</v>
      </c>
      <c r="B819" t="s">
        <v>17</v>
      </c>
      <c r="C819" s="2">
        <v>45816</v>
      </c>
      <c r="D819">
        <v>110</v>
      </c>
      <c r="E819">
        <v>116</v>
      </c>
      <c r="H819">
        <v>10</v>
      </c>
      <c r="I819">
        <f t="shared" si="122"/>
        <v>236</v>
      </c>
      <c r="J819" t="s">
        <v>50</v>
      </c>
      <c r="L819">
        <v>8</v>
      </c>
      <c r="M819" t="s">
        <v>17</v>
      </c>
      <c r="N819" s="2">
        <v>45817</v>
      </c>
      <c r="T819">
        <f t="shared" si="123"/>
        <v>0</v>
      </c>
      <c r="U819" t="s">
        <v>50</v>
      </c>
    </row>
    <row r="820" spans="1:21">
      <c r="A820">
        <v>9</v>
      </c>
      <c r="B820" t="s">
        <v>18</v>
      </c>
      <c r="C820" s="2">
        <v>45816</v>
      </c>
      <c r="D820">
        <v>31</v>
      </c>
      <c r="E820">
        <v>6</v>
      </c>
      <c r="H820">
        <v>2</v>
      </c>
      <c r="I820">
        <f t="shared" si="122"/>
        <v>39</v>
      </c>
      <c r="J820" t="s">
        <v>56</v>
      </c>
      <c r="L820">
        <v>9</v>
      </c>
      <c r="M820" t="s">
        <v>18</v>
      </c>
      <c r="N820" s="2">
        <v>45817</v>
      </c>
      <c r="O820">
        <v>42</v>
      </c>
      <c r="P820">
        <v>18</v>
      </c>
      <c r="S820">
        <v>16</v>
      </c>
      <c r="T820">
        <f t="shared" si="123"/>
        <v>76</v>
      </c>
      <c r="U820" t="s">
        <v>56</v>
      </c>
    </row>
    <row r="821" spans="1:21">
      <c r="A821">
        <v>10</v>
      </c>
      <c r="B821" t="s">
        <v>19</v>
      </c>
      <c r="C821" s="2">
        <v>45816</v>
      </c>
      <c r="D821">
        <v>123</v>
      </c>
      <c r="E821">
        <v>81</v>
      </c>
      <c r="H821">
        <v>46</v>
      </c>
      <c r="I821">
        <f t="shared" si="122"/>
        <v>250</v>
      </c>
      <c r="J821" t="s">
        <v>53</v>
      </c>
      <c r="L821">
        <v>10</v>
      </c>
      <c r="M821" t="s">
        <v>19</v>
      </c>
      <c r="N821" s="2">
        <v>45817</v>
      </c>
      <c r="T821">
        <f t="shared" si="123"/>
        <v>0</v>
      </c>
      <c r="U821" t="s">
        <v>53</v>
      </c>
    </row>
    <row r="822" spans="1:21">
      <c r="A822">
        <v>11</v>
      </c>
      <c r="B822" t="s">
        <v>25</v>
      </c>
      <c r="C822" s="2">
        <v>45816</v>
      </c>
      <c r="D822">
        <v>7</v>
      </c>
      <c r="E822">
        <v>2</v>
      </c>
      <c r="F822">
        <v>2</v>
      </c>
      <c r="G822">
        <v>0</v>
      </c>
      <c r="H822">
        <v>2</v>
      </c>
      <c r="I822">
        <f t="shared" si="122"/>
        <v>11</v>
      </c>
      <c r="J822" t="s">
        <v>54</v>
      </c>
      <c r="L822">
        <v>11</v>
      </c>
      <c r="M822" t="s">
        <v>25</v>
      </c>
      <c r="N822" s="2">
        <v>45817</v>
      </c>
      <c r="O822">
        <v>9</v>
      </c>
      <c r="P822">
        <v>1</v>
      </c>
      <c r="Q822">
        <v>1</v>
      </c>
      <c r="R822">
        <v>0</v>
      </c>
      <c r="S822">
        <v>1</v>
      </c>
      <c r="T822">
        <f t="shared" si="123"/>
        <v>11</v>
      </c>
      <c r="U822" t="s">
        <v>54</v>
      </c>
    </row>
    <row r="823" spans="1:21">
      <c r="A823">
        <v>12</v>
      </c>
      <c r="B823" t="s">
        <v>27</v>
      </c>
      <c r="C823" s="2">
        <v>45816</v>
      </c>
      <c r="I823">
        <f t="shared" si="122"/>
        <v>0</v>
      </c>
      <c r="J823" t="s">
        <v>56</v>
      </c>
      <c r="L823">
        <v>12</v>
      </c>
      <c r="M823" t="s">
        <v>27</v>
      </c>
      <c r="N823" s="2">
        <v>45817</v>
      </c>
      <c r="T823">
        <f t="shared" si="123"/>
        <v>0</v>
      </c>
      <c r="U823" t="s">
        <v>56</v>
      </c>
    </row>
    <row r="824" spans="1:21">
      <c r="A824">
        <v>13</v>
      </c>
      <c r="B824" t="s">
        <v>20</v>
      </c>
      <c r="C824" s="2">
        <v>45816</v>
      </c>
      <c r="D824">
        <v>73</v>
      </c>
      <c r="E824">
        <v>57</v>
      </c>
      <c r="F824">
        <v>3</v>
      </c>
      <c r="G824">
        <v>4</v>
      </c>
      <c r="H824">
        <v>7</v>
      </c>
      <c r="I824">
        <f t="shared" si="122"/>
        <v>137</v>
      </c>
      <c r="J824" t="s">
        <v>57</v>
      </c>
      <c r="L824">
        <v>13</v>
      </c>
      <c r="M824" t="s">
        <v>20</v>
      </c>
      <c r="N824" s="2">
        <v>45817</v>
      </c>
      <c r="O824">
        <v>162</v>
      </c>
      <c r="P824">
        <v>150</v>
      </c>
      <c r="Q824">
        <v>12</v>
      </c>
      <c r="R824">
        <v>10</v>
      </c>
      <c r="S824">
        <v>22</v>
      </c>
      <c r="T824">
        <f t="shared" si="123"/>
        <v>334</v>
      </c>
      <c r="U824" t="s">
        <v>57</v>
      </c>
    </row>
    <row r="825" spans="1:21">
      <c r="A825">
        <v>14</v>
      </c>
      <c r="B825" t="s">
        <v>32</v>
      </c>
      <c r="C825" s="2">
        <v>45816</v>
      </c>
      <c r="D825">
        <v>16</v>
      </c>
      <c r="E825">
        <v>8</v>
      </c>
      <c r="F825">
        <v>1</v>
      </c>
      <c r="G825">
        <v>1</v>
      </c>
      <c r="H825">
        <v>2</v>
      </c>
      <c r="I825">
        <f t="shared" si="122"/>
        <v>26</v>
      </c>
      <c r="J825" t="s">
        <v>50</v>
      </c>
      <c r="L825">
        <v>14</v>
      </c>
      <c r="M825" t="s">
        <v>32</v>
      </c>
      <c r="N825" s="2">
        <v>45817</v>
      </c>
      <c r="O825">
        <v>52</v>
      </c>
      <c r="P825">
        <v>102</v>
      </c>
      <c r="Q825">
        <v>4</v>
      </c>
      <c r="R825">
        <v>1</v>
      </c>
      <c r="S825">
        <v>5</v>
      </c>
      <c r="T825">
        <f t="shared" si="123"/>
        <v>159</v>
      </c>
      <c r="U825" t="s">
        <v>50</v>
      </c>
    </row>
    <row r="826" spans="1:21">
      <c r="A826">
        <v>15</v>
      </c>
      <c r="B826" t="s">
        <v>48</v>
      </c>
      <c r="C826" s="2">
        <v>45816</v>
      </c>
      <c r="I826">
        <f t="shared" si="122"/>
        <v>0</v>
      </c>
      <c r="J826" t="s">
        <v>59</v>
      </c>
      <c r="L826">
        <v>15</v>
      </c>
      <c r="M826" t="s">
        <v>48</v>
      </c>
      <c r="N826" s="2">
        <v>45817</v>
      </c>
      <c r="T826">
        <f t="shared" si="123"/>
        <v>0</v>
      </c>
      <c r="U826" t="s">
        <v>59</v>
      </c>
    </row>
    <row r="827" spans="1:21">
      <c r="A827">
        <v>16</v>
      </c>
      <c r="B827" t="s">
        <v>37</v>
      </c>
      <c r="C827" s="2">
        <v>45816</v>
      </c>
      <c r="D827">
        <v>17</v>
      </c>
      <c r="E827">
        <v>17</v>
      </c>
      <c r="F827">
        <v>0</v>
      </c>
      <c r="G827">
        <v>0</v>
      </c>
      <c r="H827">
        <v>0</v>
      </c>
      <c r="I827">
        <f t="shared" si="122"/>
        <v>34</v>
      </c>
      <c r="J827" t="s">
        <v>55</v>
      </c>
      <c r="L827">
        <v>16</v>
      </c>
      <c r="M827" t="s">
        <v>37</v>
      </c>
      <c r="N827" s="2">
        <v>45817</v>
      </c>
      <c r="T827">
        <f t="shared" si="123"/>
        <v>0</v>
      </c>
      <c r="U827" t="s">
        <v>55</v>
      </c>
    </row>
    <row r="828" spans="1:21">
      <c r="A828">
        <v>17</v>
      </c>
      <c r="B828" t="s">
        <v>49</v>
      </c>
      <c r="C828" s="2">
        <v>45816</v>
      </c>
      <c r="I828">
        <f t="shared" si="122"/>
        <v>0</v>
      </c>
      <c r="J828" t="s">
        <v>59</v>
      </c>
      <c r="L828">
        <v>17</v>
      </c>
      <c r="M828" t="s">
        <v>49</v>
      </c>
      <c r="N828" s="2">
        <v>45817</v>
      </c>
      <c r="T828">
        <f t="shared" si="123"/>
        <v>0</v>
      </c>
      <c r="U828" t="s">
        <v>59</v>
      </c>
    </row>
    <row r="829" spans="1:21">
      <c r="A829">
        <v>18</v>
      </c>
      <c r="B829" t="s">
        <v>21</v>
      </c>
      <c r="C829" s="2">
        <v>45816</v>
      </c>
      <c r="D829">
        <v>246</v>
      </c>
      <c r="E829">
        <v>261</v>
      </c>
      <c r="H829">
        <v>0</v>
      </c>
      <c r="I829">
        <f t="shared" si="122"/>
        <v>507</v>
      </c>
      <c r="J829" t="s">
        <v>59</v>
      </c>
      <c r="L829">
        <v>18</v>
      </c>
      <c r="M829" t="s">
        <v>21</v>
      </c>
      <c r="N829" s="2">
        <v>45817</v>
      </c>
      <c r="O829">
        <v>469</v>
      </c>
      <c r="P829">
        <v>483</v>
      </c>
      <c r="S829">
        <v>0</v>
      </c>
      <c r="T829">
        <f t="shared" si="123"/>
        <v>952</v>
      </c>
      <c r="U829" t="s">
        <v>59</v>
      </c>
    </row>
    <row r="830" spans="1:21">
      <c r="A830">
        <v>19</v>
      </c>
      <c r="B830" t="s">
        <v>104</v>
      </c>
      <c r="C830" s="2">
        <v>45816</v>
      </c>
      <c r="I830">
        <f>D830+E830+H830</f>
        <v>0</v>
      </c>
      <c r="L830">
        <v>19</v>
      </c>
      <c r="M830" t="s">
        <v>104</v>
      </c>
      <c r="N830" s="2">
        <v>45817</v>
      </c>
      <c r="T830">
        <f>O830+P830+S830</f>
        <v>0</v>
      </c>
    </row>
    <row r="831" spans="1:21">
      <c r="A831">
        <v>20</v>
      </c>
      <c r="B831" t="s">
        <v>26</v>
      </c>
      <c r="C831" s="2">
        <v>45816</v>
      </c>
      <c r="I831">
        <f t="shared" ref="I831" si="124">D831+E831+H831</f>
        <v>0</v>
      </c>
      <c r="J831" t="s">
        <v>54</v>
      </c>
      <c r="L831">
        <v>20</v>
      </c>
      <c r="M831" t="s">
        <v>26</v>
      </c>
      <c r="N831" s="2">
        <v>45817</v>
      </c>
      <c r="T831">
        <f t="shared" ref="T831" si="125">O831+P831+S831</f>
        <v>0</v>
      </c>
      <c r="U831" t="s">
        <v>54</v>
      </c>
    </row>
    <row r="832" spans="1:21">
      <c r="B832" t="s">
        <v>8</v>
      </c>
      <c r="D832">
        <f>D812+D813+D814+D815+D816+D817+D819+D818+D820+D821+D822+D823+D824+D825+D827+D829</f>
        <v>835</v>
      </c>
      <c r="E832">
        <f>SUM(E812:E831)</f>
        <v>750</v>
      </c>
      <c r="I832">
        <f>I812+I813+I814+I815+I816+I817+I818+I819+I820+I821+I822+I823+I824+I825+I826+I827+I828+I829+I830+I831</f>
        <v>1681</v>
      </c>
      <c r="M832" t="s">
        <v>8</v>
      </c>
      <c r="O832">
        <f>O812+O813+O814+O815+O816+O817+O819+O818+O820+O821+O822+O823+O824+O825+O827+O829</f>
        <v>1254</v>
      </c>
      <c r="P832">
        <f>SUM(P812:P831)</f>
        <v>1422</v>
      </c>
      <c r="T832">
        <f>T812+T813+T814+T815+T816+T817+T818+T819+T820+T821+T822+T823+T824+T825+T826+T827+T828+T829+T830+T831</f>
        <v>2756</v>
      </c>
    </row>
    <row r="835" spans="1:21">
      <c r="B835" t="s">
        <v>38</v>
      </c>
      <c r="C835" t="s">
        <v>251</v>
      </c>
      <c r="M835" t="s">
        <v>38</v>
      </c>
      <c r="N835" t="s">
        <v>252</v>
      </c>
    </row>
    <row r="836" spans="1:21">
      <c r="A836" t="s">
        <v>0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t="s">
        <v>7</v>
      </c>
      <c r="I836" t="s">
        <v>8</v>
      </c>
      <c r="J836" t="s">
        <v>51</v>
      </c>
      <c r="L836" t="s">
        <v>0</v>
      </c>
      <c r="M836" t="s">
        <v>1</v>
      </c>
      <c r="N836" t="s">
        <v>2</v>
      </c>
      <c r="O836" t="s">
        <v>3</v>
      </c>
      <c r="P836" t="s">
        <v>4</v>
      </c>
      <c r="Q836" t="s">
        <v>5</v>
      </c>
      <c r="R836" t="s">
        <v>6</v>
      </c>
      <c r="S836" t="s">
        <v>7</v>
      </c>
      <c r="T836" t="s">
        <v>8</v>
      </c>
      <c r="U836" t="s">
        <v>51</v>
      </c>
    </row>
    <row r="837" spans="1:21">
      <c r="A837">
        <v>1</v>
      </c>
      <c r="B837" t="s">
        <v>9</v>
      </c>
      <c r="C837" s="2">
        <v>45818</v>
      </c>
      <c r="D837">
        <v>26</v>
      </c>
      <c r="E837">
        <v>15</v>
      </c>
      <c r="F837">
        <v>5</v>
      </c>
      <c r="G837">
        <v>3</v>
      </c>
      <c r="H837">
        <v>8</v>
      </c>
      <c r="I837">
        <f>D837+E837+H837</f>
        <v>49</v>
      </c>
      <c r="J837" t="s">
        <v>50</v>
      </c>
      <c r="L837">
        <v>1</v>
      </c>
      <c r="M837" t="s">
        <v>9</v>
      </c>
      <c r="N837" s="2">
        <v>45819</v>
      </c>
      <c r="O837">
        <v>30</v>
      </c>
      <c r="P837">
        <v>37</v>
      </c>
      <c r="Q837">
        <v>4</v>
      </c>
      <c r="R837">
        <v>2</v>
      </c>
      <c r="S837">
        <v>6</v>
      </c>
      <c r="T837">
        <f>O837+P837+S837</f>
        <v>73</v>
      </c>
      <c r="U837" t="s">
        <v>50</v>
      </c>
    </row>
    <row r="838" spans="1:21">
      <c r="A838">
        <v>2</v>
      </c>
      <c r="B838" t="s">
        <v>11</v>
      </c>
      <c r="C838" s="2">
        <v>45818</v>
      </c>
      <c r="D838">
        <v>15</v>
      </c>
      <c r="E838">
        <v>5</v>
      </c>
      <c r="F838">
        <v>1</v>
      </c>
      <c r="G838">
        <v>0</v>
      </c>
      <c r="H838">
        <v>1</v>
      </c>
      <c r="I838">
        <f>D838+E838+H838</f>
        <v>21</v>
      </c>
      <c r="J838" t="s">
        <v>52</v>
      </c>
      <c r="L838">
        <v>2</v>
      </c>
      <c r="M838" t="s">
        <v>11</v>
      </c>
      <c r="N838" s="2">
        <v>45819</v>
      </c>
      <c r="O838">
        <v>13</v>
      </c>
      <c r="P838">
        <v>5</v>
      </c>
      <c r="Q838">
        <v>1</v>
      </c>
      <c r="R838">
        <v>1</v>
      </c>
      <c r="S838">
        <v>2</v>
      </c>
      <c r="T838">
        <f>O838+P838+S838</f>
        <v>20</v>
      </c>
      <c r="U838" t="s">
        <v>52</v>
      </c>
    </row>
    <row r="839" spans="1:21">
      <c r="A839">
        <v>3</v>
      </c>
      <c r="B839" t="s">
        <v>12</v>
      </c>
      <c r="C839" s="2">
        <v>45818</v>
      </c>
      <c r="I839">
        <f>SUM(D839,E839,H839)</f>
        <v>0</v>
      </c>
      <c r="J839" t="s">
        <v>53</v>
      </c>
      <c r="L839">
        <v>3</v>
      </c>
      <c r="M839" t="s">
        <v>12</v>
      </c>
      <c r="N839" s="2">
        <v>45819</v>
      </c>
      <c r="O839">
        <v>80</v>
      </c>
      <c r="P839">
        <v>70</v>
      </c>
      <c r="T839">
        <f>SUM(O839,P839,S839)</f>
        <v>150</v>
      </c>
      <c r="U839" t="s">
        <v>53</v>
      </c>
    </row>
    <row r="840" spans="1:21">
      <c r="A840">
        <v>4</v>
      </c>
      <c r="B840" t="s">
        <v>13</v>
      </c>
      <c r="C840" s="2">
        <v>45818</v>
      </c>
      <c r="D840">
        <v>12</v>
      </c>
      <c r="E840">
        <v>10</v>
      </c>
      <c r="H840">
        <v>5</v>
      </c>
      <c r="I840">
        <f t="shared" ref="I840:I854" si="126">D840+E840+H840</f>
        <v>27</v>
      </c>
      <c r="J840" t="s">
        <v>52</v>
      </c>
      <c r="L840">
        <v>4</v>
      </c>
      <c r="M840" t="s">
        <v>13</v>
      </c>
      <c r="N840" s="2">
        <v>45819</v>
      </c>
      <c r="O840">
        <v>25</v>
      </c>
      <c r="P840">
        <v>6</v>
      </c>
      <c r="S840">
        <v>1</v>
      </c>
      <c r="T840">
        <f t="shared" ref="T840:T854" si="127">O840+P840+S840</f>
        <v>32</v>
      </c>
      <c r="U840" t="s">
        <v>52</v>
      </c>
    </row>
    <row r="841" spans="1:21">
      <c r="A841">
        <v>5</v>
      </c>
      <c r="B841" t="s">
        <v>14</v>
      </c>
      <c r="C841" s="2">
        <v>45818</v>
      </c>
      <c r="D841">
        <v>349</v>
      </c>
      <c r="E841">
        <v>614</v>
      </c>
      <c r="H841">
        <v>184</v>
      </c>
      <c r="I841">
        <f t="shared" si="126"/>
        <v>1147</v>
      </c>
      <c r="J841" t="s">
        <v>54</v>
      </c>
      <c r="L841">
        <v>5</v>
      </c>
      <c r="M841" t="s">
        <v>14</v>
      </c>
      <c r="N841" s="2">
        <v>45819</v>
      </c>
      <c r="T841">
        <f t="shared" si="127"/>
        <v>0</v>
      </c>
      <c r="U841" t="s">
        <v>54</v>
      </c>
    </row>
    <row r="842" spans="1:21">
      <c r="A842">
        <v>6</v>
      </c>
      <c r="B842" t="s">
        <v>15</v>
      </c>
      <c r="C842" s="2">
        <v>45818</v>
      </c>
      <c r="D842">
        <v>100</v>
      </c>
      <c r="E842">
        <v>70</v>
      </c>
      <c r="H842">
        <v>0</v>
      </c>
      <c r="I842">
        <f t="shared" si="126"/>
        <v>170</v>
      </c>
      <c r="J842" t="s">
        <v>55</v>
      </c>
      <c r="L842">
        <v>6</v>
      </c>
      <c r="M842" t="s">
        <v>15</v>
      </c>
      <c r="N842" s="2">
        <v>45819</v>
      </c>
      <c r="O842">
        <v>148</v>
      </c>
      <c r="P842">
        <v>79</v>
      </c>
      <c r="S842">
        <v>0</v>
      </c>
      <c r="T842">
        <f t="shared" si="127"/>
        <v>227</v>
      </c>
      <c r="U842" t="s">
        <v>55</v>
      </c>
    </row>
    <row r="843" spans="1:21">
      <c r="A843">
        <v>7</v>
      </c>
      <c r="B843" t="s">
        <v>16</v>
      </c>
      <c r="C843" s="2">
        <v>45818</v>
      </c>
      <c r="I843">
        <f t="shared" si="126"/>
        <v>0</v>
      </c>
      <c r="J843" t="s">
        <v>52</v>
      </c>
      <c r="L843">
        <v>7</v>
      </c>
      <c r="M843" t="s">
        <v>16</v>
      </c>
      <c r="N843" s="2">
        <v>45819</v>
      </c>
      <c r="O843">
        <v>69</v>
      </c>
      <c r="P843">
        <v>89</v>
      </c>
      <c r="T843">
        <f t="shared" si="127"/>
        <v>158</v>
      </c>
      <c r="U843" t="s">
        <v>52</v>
      </c>
    </row>
    <row r="844" spans="1:21">
      <c r="A844">
        <v>8</v>
      </c>
      <c r="B844" t="s">
        <v>17</v>
      </c>
      <c r="C844" s="2">
        <v>45818</v>
      </c>
      <c r="I844">
        <f t="shared" si="126"/>
        <v>0</v>
      </c>
      <c r="J844" t="s">
        <v>50</v>
      </c>
      <c r="L844">
        <v>8</v>
      </c>
      <c r="M844" t="s">
        <v>17</v>
      </c>
      <c r="N844" s="2">
        <v>45819</v>
      </c>
      <c r="O844">
        <v>132</v>
      </c>
      <c r="P844">
        <v>150</v>
      </c>
      <c r="T844">
        <f t="shared" si="127"/>
        <v>282</v>
      </c>
      <c r="U844" t="s">
        <v>50</v>
      </c>
    </row>
    <row r="845" spans="1:21">
      <c r="A845">
        <v>9</v>
      </c>
      <c r="B845" t="s">
        <v>18</v>
      </c>
      <c r="C845" s="2">
        <v>45818</v>
      </c>
      <c r="I845">
        <f t="shared" si="126"/>
        <v>0</v>
      </c>
      <c r="J845" t="s">
        <v>56</v>
      </c>
      <c r="L845">
        <v>9</v>
      </c>
      <c r="M845" t="s">
        <v>18</v>
      </c>
      <c r="N845" s="2">
        <v>45819</v>
      </c>
      <c r="T845">
        <f t="shared" si="127"/>
        <v>0</v>
      </c>
      <c r="U845" t="s">
        <v>56</v>
      </c>
    </row>
    <row r="846" spans="1:21">
      <c r="A846">
        <v>10</v>
      </c>
      <c r="B846" t="s">
        <v>19</v>
      </c>
      <c r="C846" s="2">
        <v>45818</v>
      </c>
      <c r="I846">
        <f t="shared" si="126"/>
        <v>0</v>
      </c>
      <c r="J846" t="s">
        <v>53</v>
      </c>
      <c r="L846">
        <v>10</v>
      </c>
      <c r="M846" t="s">
        <v>19</v>
      </c>
      <c r="N846" s="2">
        <v>45819</v>
      </c>
      <c r="T846">
        <f t="shared" si="127"/>
        <v>0</v>
      </c>
      <c r="U846" t="s">
        <v>53</v>
      </c>
    </row>
    <row r="847" spans="1:21">
      <c r="A847">
        <v>11</v>
      </c>
      <c r="B847" t="s">
        <v>25</v>
      </c>
      <c r="C847" s="2">
        <v>45818</v>
      </c>
      <c r="D847">
        <v>8</v>
      </c>
      <c r="E847">
        <v>2</v>
      </c>
      <c r="F847">
        <v>4</v>
      </c>
      <c r="G847">
        <v>0</v>
      </c>
      <c r="H847">
        <v>4</v>
      </c>
      <c r="I847">
        <f t="shared" si="126"/>
        <v>14</v>
      </c>
      <c r="J847" t="s">
        <v>54</v>
      </c>
      <c r="L847">
        <v>11</v>
      </c>
      <c r="M847" t="s">
        <v>25</v>
      </c>
      <c r="N847" s="2">
        <v>45819</v>
      </c>
      <c r="T847">
        <f t="shared" si="127"/>
        <v>0</v>
      </c>
      <c r="U847" t="s">
        <v>54</v>
      </c>
    </row>
    <row r="848" spans="1:21">
      <c r="A848">
        <v>12</v>
      </c>
      <c r="B848" t="s">
        <v>27</v>
      </c>
      <c r="C848" s="2">
        <v>45818</v>
      </c>
      <c r="D848">
        <v>220</v>
      </c>
      <c r="E848">
        <v>223</v>
      </c>
      <c r="F848">
        <v>45</v>
      </c>
      <c r="G848">
        <v>30</v>
      </c>
      <c r="H848">
        <v>75</v>
      </c>
      <c r="I848">
        <f t="shared" si="126"/>
        <v>518</v>
      </c>
      <c r="J848" t="s">
        <v>56</v>
      </c>
      <c r="L848">
        <v>12</v>
      </c>
      <c r="M848" t="s">
        <v>27</v>
      </c>
      <c r="N848" s="2">
        <v>45819</v>
      </c>
      <c r="O848">
        <v>212</v>
      </c>
      <c r="P848">
        <v>231</v>
      </c>
      <c r="Q848">
        <v>47</v>
      </c>
      <c r="R848">
        <v>34</v>
      </c>
      <c r="S848">
        <v>81</v>
      </c>
      <c r="T848">
        <f t="shared" si="127"/>
        <v>524</v>
      </c>
      <c r="U848" t="s">
        <v>56</v>
      </c>
    </row>
    <row r="849" spans="1:21">
      <c r="A849">
        <v>13</v>
      </c>
      <c r="B849" t="s">
        <v>20</v>
      </c>
      <c r="C849" s="2">
        <v>45818</v>
      </c>
      <c r="I849">
        <f t="shared" si="126"/>
        <v>0</v>
      </c>
      <c r="J849" t="s">
        <v>57</v>
      </c>
      <c r="L849">
        <v>13</v>
      </c>
      <c r="M849" t="s">
        <v>20</v>
      </c>
      <c r="N849" s="2">
        <v>45819</v>
      </c>
      <c r="T849">
        <f t="shared" si="127"/>
        <v>0</v>
      </c>
      <c r="U849" t="s">
        <v>57</v>
      </c>
    </row>
    <row r="850" spans="1:21">
      <c r="A850">
        <v>14</v>
      </c>
      <c r="B850" t="s">
        <v>32</v>
      </c>
      <c r="C850" s="2">
        <v>45818</v>
      </c>
      <c r="D850">
        <v>24</v>
      </c>
      <c r="E850">
        <v>29</v>
      </c>
      <c r="F850">
        <v>3</v>
      </c>
      <c r="G850">
        <v>0</v>
      </c>
      <c r="H850">
        <v>3</v>
      </c>
      <c r="I850">
        <f t="shared" si="126"/>
        <v>56</v>
      </c>
      <c r="J850" t="s">
        <v>50</v>
      </c>
      <c r="L850">
        <v>14</v>
      </c>
      <c r="M850" t="s">
        <v>32</v>
      </c>
      <c r="N850" s="2">
        <v>45819</v>
      </c>
      <c r="O850">
        <v>25</v>
      </c>
      <c r="P850">
        <v>34</v>
      </c>
      <c r="Q850">
        <v>4</v>
      </c>
      <c r="R850">
        <v>3</v>
      </c>
      <c r="S850">
        <v>7</v>
      </c>
      <c r="T850">
        <f t="shared" si="127"/>
        <v>66</v>
      </c>
      <c r="U850" t="s">
        <v>50</v>
      </c>
    </row>
    <row r="851" spans="1:21">
      <c r="A851">
        <v>15</v>
      </c>
      <c r="B851" t="s">
        <v>48</v>
      </c>
      <c r="C851" s="2">
        <v>45818</v>
      </c>
      <c r="I851">
        <f t="shared" si="126"/>
        <v>0</v>
      </c>
      <c r="J851" t="s">
        <v>59</v>
      </c>
      <c r="L851">
        <v>15</v>
      </c>
      <c r="M851" t="s">
        <v>48</v>
      </c>
      <c r="N851" s="2">
        <v>45819</v>
      </c>
      <c r="T851">
        <f t="shared" si="127"/>
        <v>0</v>
      </c>
      <c r="U851" t="s">
        <v>59</v>
      </c>
    </row>
    <row r="852" spans="1:21">
      <c r="A852">
        <v>16</v>
      </c>
      <c r="B852" t="s">
        <v>37</v>
      </c>
      <c r="C852" s="2">
        <v>45818</v>
      </c>
      <c r="D852">
        <v>22</v>
      </c>
      <c r="E852">
        <v>16</v>
      </c>
      <c r="F852">
        <v>0</v>
      </c>
      <c r="G852">
        <v>1</v>
      </c>
      <c r="H852">
        <v>1</v>
      </c>
      <c r="I852">
        <f t="shared" si="126"/>
        <v>39</v>
      </c>
      <c r="J852" t="s">
        <v>55</v>
      </c>
      <c r="L852">
        <v>16</v>
      </c>
      <c r="M852" t="s">
        <v>37</v>
      </c>
      <c r="N852" s="2">
        <v>45819</v>
      </c>
      <c r="T852">
        <f t="shared" si="127"/>
        <v>0</v>
      </c>
      <c r="U852" t="s">
        <v>55</v>
      </c>
    </row>
    <row r="853" spans="1:21">
      <c r="A853">
        <v>17</v>
      </c>
      <c r="B853" t="s">
        <v>49</v>
      </c>
      <c r="C853" s="2">
        <v>45818</v>
      </c>
      <c r="I853">
        <f t="shared" si="126"/>
        <v>0</v>
      </c>
      <c r="J853" t="s">
        <v>59</v>
      </c>
      <c r="L853">
        <v>17</v>
      </c>
      <c r="M853" t="s">
        <v>49</v>
      </c>
      <c r="N853" s="2">
        <v>45819</v>
      </c>
      <c r="T853">
        <f t="shared" si="127"/>
        <v>0</v>
      </c>
      <c r="U853" t="s">
        <v>59</v>
      </c>
    </row>
    <row r="854" spans="1:21">
      <c r="A854">
        <v>18</v>
      </c>
      <c r="B854" t="s">
        <v>21</v>
      </c>
      <c r="C854" s="2">
        <v>45818</v>
      </c>
      <c r="D854">
        <v>338</v>
      </c>
      <c r="E854">
        <v>351</v>
      </c>
      <c r="H854">
        <v>0</v>
      </c>
      <c r="I854">
        <f t="shared" si="126"/>
        <v>689</v>
      </c>
      <c r="J854" t="s">
        <v>59</v>
      </c>
      <c r="L854">
        <v>18</v>
      </c>
      <c r="M854" t="s">
        <v>21</v>
      </c>
      <c r="N854" s="2">
        <v>45819</v>
      </c>
      <c r="T854">
        <f t="shared" si="127"/>
        <v>0</v>
      </c>
      <c r="U854" t="s">
        <v>59</v>
      </c>
    </row>
    <row r="855" spans="1:21">
      <c r="A855">
        <v>19</v>
      </c>
      <c r="B855" t="s">
        <v>104</v>
      </c>
      <c r="C855" s="2">
        <v>45818</v>
      </c>
      <c r="I855">
        <f>D855+E855+H855</f>
        <v>0</v>
      </c>
      <c r="L855">
        <v>19</v>
      </c>
      <c r="M855" t="s">
        <v>104</v>
      </c>
      <c r="N855" s="2">
        <v>45819</v>
      </c>
      <c r="T855">
        <f>O855+P855+S855</f>
        <v>0</v>
      </c>
    </row>
    <row r="856" spans="1:21">
      <c r="A856">
        <v>20</v>
      </c>
      <c r="B856" t="s">
        <v>26</v>
      </c>
      <c r="C856" s="2">
        <v>45818</v>
      </c>
      <c r="I856">
        <f t="shared" ref="I856" si="128">D856+E856+H856</f>
        <v>0</v>
      </c>
      <c r="J856" t="s">
        <v>54</v>
      </c>
      <c r="L856">
        <v>20</v>
      </c>
      <c r="M856" t="s">
        <v>26</v>
      </c>
      <c r="N856" s="2">
        <v>45819</v>
      </c>
      <c r="T856">
        <f t="shared" ref="T856" si="129">O856+P856+S856</f>
        <v>0</v>
      </c>
      <c r="U856" t="s">
        <v>54</v>
      </c>
    </row>
    <row r="857" spans="1:21">
      <c r="B857" t="s">
        <v>8</v>
      </c>
      <c r="D857">
        <f>D837+D838+D839+D840+D841+D842+D844+D843+D845+D846+D847+D848+D849+D850+D852+D854</f>
        <v>1114</v>
      </c>
      <c r="E857">
        <f>SUM(E837:E856)</f>
        <v>1335</v>
      </c>
      <c r="I857">
        <f>I837+I838+I839+I840+I841+I842+I843+I844+I845+I846+I847+I848+I849+I850+I851+I852+I853+I854+I855+I856</f>
        <v>2730</v>
      </c>
      <c r="M857" t="s">
        <v>8</v>
      </c>
      <c r="O857">
        <f>O837+O838+O839+O840+O841+O842+O844+O843+O845+O846+O847+O848+O849+O850+O852+O854</f>
        <v>734</v>
      </c>
      <c r="P857">
        <f>SUM(P837:P856)</f>
        <v>701</v>
      </c>
      <c r="T857">
        <f>T837+T838+T839+T840+T841+T842+T843+T844+T845+T846+T847+T848+T849+T850+T851+T852+T853+T854+T855+T856</f>
        <v>1532</v>
      </c>
    </row>
    <row r="859" spans="1:21">
      <c r="B859" t="s">
        <v>38</v>
      </c>
      <c r="C859" t="s">
        <v>253</v>
      </c>
      <c r="M859" t="s">
        <v>38</v>
      </c>
      <c r="N859" t="s">
        <v>254</v>
      </c>
    </row>
    <row r="860" spans="1:21">
      <c r="A860" t="s">
        <v>0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t="s">
        <v>7</v>
      </c>
      <c r="I860" t="s">
        <v>8</v>
      </c>
      <c r="J860" t="s">
        <v>51</v>
      </c>
      <c r="L860" t="s">
        <v>0</v>
      </c>
      <c r="M860" t="s">
        <v>1</v>
      </c>
      <c r="N860" t="s">
        <v>2</v>
      </c>
      <c r="O860" t="s">
        <v>3</v>
      </c>
      <c r="P860" t="s">
        <v>4</v>
      </c>
      <c r="Q860" t="s">
        <v>5</v>
      </c>
      <c r="R860" t="s">
        <v>6</v>
      </c>
      <c r="S860" t="s">
        <v>7</v>
      </c>
      <c r="T860" t="s">
        <v>8</v>
      </c>
      <c r="U860" t="s">
        <v>51</v>
      </c>
    </row>
    <row r="861" spans="1:21">
      <c r="A861">
        <v>1</v>
      </c>
      <c r="B861" t="s">
        <v>9</v>
      </c>
      <c r="C861" s="2">
        <v>45820</v>
      </c>
      <c r="D861">
        <v>26</v>
      </c>
      <c r="E861">
        <v>22</v>
      </c>
      <c r="F861">
        <v>1</v>
      </c>
      <c r="G861">
        <v>0</v>
      </c>
      <c r="H861">
        <v>1</v>
      </c>
      <c r="I861">
        <f>D861+E861+H861</f>
        <v>49</v>
      </c>
      <c r="J861" t="s">
        <v>50</v>
      </c>
      <c r="L861">
        <v>1</v>
      </c>
      <c r="M861" t="s">
        <v>9</v>
      </c>
      <c r="N861" s="2">
        <v>45821</v>
      </c>
      <c r="T861">
        <f>O861+P861+S861</f>
        <v>0</v>
      </c>
      <c r="U861" t="s">
        <v>50</v>
      </c>
    </row>
    <row r="862" spans="1:21">
      <c r="A862">
        <v>2</v>
      </c>
      <c r="B862" t="s">
        <v>11</v>
      </c>
      <c r="C862" s="2">
        <v>45820</v>
      </c>
      <c r="D862">
        <v>10</v>
      </c>
      <c r="E862">
        <v>7</v>
      </c>
      <c r="F862">
        <v>0</v>
      </c>
      <c r="G862">
        <v>0</v>
      </c>
      <c r="H862">
        <v>0</v>
      </c>
      <c r="I862">
        <f>D862+E862+H862</f>
        <v>17</v>
      </c>
      <c r="J862" t="s">
        <v>52</v>
      </c>
      <c r="L862">
        <v>2</v>
      </c>
      <c r="M862" t="s">
        <v>11</v>
      </c>
      <c r="N862" s="2">
        <v>45821</v>
      </c>
      <c r="O862">
        <v>17</v>
      </c>
      <c r="P862">
        <v>6</v>
      </c>
      <c r="Q862">
        <v>0</v>
      </c>
      <c r="R862">
        <v>0</v>
      </c>
      <c r="S862">
        <v>0</v>
      </c>
      <c r="T862">
        <f>O862+P862+S862</f>
        <v>23</v>
      </c>
      <c r="U862" t="s">
        <v>52</v>
      </c>
    </row>
    <row r="863" spans="1:21">
      <c r="A863">
        <v>3</v>
      </c>
      <c r="B863" t="s">
        <v>12</v>
      </c>
      <c r="C863" s="2">
        <v>45820</v>
      </c>
      <c r="D863">
        <v>23</v>
      </c>
      <c r="E863">
        <v>35</v>
      </c>
      <c r="H863">
        <v>0</v>
      </c>
      <c r="I863">
        <f>SUM(D863,E863,H863)</f>
        <v>58</v>
      </c>
      <c r="J863" t="s">
        <v>53</v>
      </c>
      <c r="L863">
        <v>3</v>
      </c>
      <c r="M863" t="s">
        <v>12</v>
      </c>
      <c r="N863" s="2">
        <v>45821</v>
      </c>
      <c r="O863">
        <v>27</v>
      </c>
      <c r="P863">
        <v>27</v>
      </c>
      <c r="S863">
        <v>0</v>
      </c>
      <c r="T863">
        <f>SUM(O863,P863,S863)</f>
        <v>54</v>
      </c>
      <c r="U863" t="s">
        <v>53</v>
      </c>
    </row>
    <row r="864" spans="1:21">
      <c r="A864">
        <v>4</v>
      </c>
      <c r="B864" t="s">
        <v>13</v>
      </c>
      <c r="C864" s="2">
        <v>45820</v>
      </c>
      <c r="D864">
        <v>24</v>
      </c>
      <c r="E864">
        <v>7</v>
      </c>
      <c r="H864">
        <v>0</v>
      </c>
      <c r="I864">
        <f t="shared" ref="I864:I878" si="130">D864+E864+H864</f>
        <v>31</v>
      </c>
      <c r="J864" t="s">
        <v>52</v>
      </c>
      <c r="L864">
        <v>4</v>
      </c>
      <c r="M864" t="s">
        <v>13</v>
      </c>
      <c r="N864" s="2">
        <v>45821</v>
      </c>
      <c r="O864">
        <v>13</v>
      </c>
      <c r="P864">
        <v>7</v>
      </c>
      <c r="S864">
        <v>1</v>
      </c>
      <c r="T864">
        <f t="shared" ref="T864:T878" si="131">O864+P864+S864</f>
        <v>21</v>
      </c>
      <c r="U864" t="s">
        <v>52</v>
      </c>
    </row>
    <row r="865" spans="1:21">
      <c r="A865">
        <v>5</v>
      </c>
      <c r="B865" t="s">
        <v>14</v>
      </c>
      <c r="C865" s="2">
        <v>45820</v>
      </c>
      <c r="I865">
        <f t="shared" si="130"/>
        <v>0</v>
      </c>
      <c r="J865" t="s">
        <v>54</v>
      </c>
      <c r="L865">
        <v>5</v>
      </c>
      <c r="M865" t="s">
        <v>14</v>
      </c>
      <c r="N865" s="2">
        <v>45821</v>
      </c>
      <c r="T865">
        <f t="shared" si="131"/>
        <v>0</v>
      </c>
      <c r="U865" t="s">
        <v>54</v>
      </c>
    </row>
    <row r="866" spans="1:21">
      <c r="A866">
        <v>6</v>
      </c>
      <c r="B866" t="s">
        <v>15</v>
      </c>
      <c r="C866" s="2">
        <v>45820</v>
      </c>
      <c r="D866">
        <v>167</v>
      </c>
      <c r="E866">
        <v>184</v>
      </c>
      <c r="H866">
        <v>0</v>
      </c>
      <c r="I866">
        <f t="shared" si="130"/>
        <v>351</v>
      </c>
      <c r="J866" t="s">
        <v>55</v>
      </c>
      <c r="L866">
        <v>6</v>
      </c>
      <c r="M866" t="s">
        <v>15</v>
      </c>
      <c r="N866" s="2">
        <v>45821</v>
      </c>
      <c r="O866">
        <v>116</v>
      </c>
      <c r="P866">
        <v>90</v>
      </c>
      <c r="S866">
        <v>0</v>
      </c>
      <c r="T866">
        <f t="shared" si="131"/>
        <v>206</v>
      </c>
      <c r="U866" t="s">
        <v>55</v>
      </c>
    </row>
    <row r="867" spans="1:21">
      <c r="A867">
        <v>7</v>
      </c>
      <c r="B867" t="s">
        <v>16</v>
      </c>
      <c r="C867" s="2">
        <v>45820</v>
      </c>
      <c r="I867">
        <f t="shared" si="130"/>
        <v>0</v>
      </c>
      <c r="J867" t="s">
        <v>52</v>
      </c>
      <c r="L867">
        <v>7</v>
      </c>
      <c r="M867" t="s">
        <v>16</v>
      </c>
      <c r="N867" s="2">
        <v>45821</v>
      </c>
      <c r="O867">
        <v>56</v>
      </c>
      <c r="P867">
        <v>34</v>
      </c>
      <c r="S867">
        <v>0</v>
      </c>
      <c r="T867">
        <f t="shared" si="131"/>
        <v>90</v>
      </c>
      <c r="U867" t="s">
        <v>52</v>
      </c>
    </row>
    <row r="868" spans="1:21">
      <c r="A868">
        <v>8</v>
      </c>
      <c r="B868" t="s">
        <v>17</v>
      </c>
      <c r="C868" s="2">
        <v>45820</v>
      </c>
      <c r="D868">
        <v>20</v>
      </c>
      <c r="E868">
        <v>13</v>
      </c>
      <c r="H868">
        <v>4</v>
      </c>
      <c r="I868">
        <f t="shared" si="130"/>
        <v>37</v>
      </c>
      <c r="J868" t="s">
        <v>50</v>
      </c>
      <c r="L868">
        <v>8</v>
      </c>
      <c r="M868" t="s">
        <v>17</v>
      </c>
      <c r="N868" s="2">
        <v>45821</v>
      </c>
      <c r="O868">
        <v>225</v>
      </c>
      <c r="P868">
        <v>253</v>
      </c>
      <c r="Q868">
        <v>11</v>
      </c>
      <c r="R868">
        <v>16</v>
      </c>
      <c r="S868">
        <v>27</v>
      </c>
      <c r="T868">
        <f t="shared" si="131"/>
        <v>505</v>
      </c>
      <c r="U868" t="s">
        <v>50</v>
      </c>
    </row>
    <row r="869" spans="1:21">
      <c r="A869">
        <v>9</v>
      </c>
      <c r="B869" t="s">
        <v>18</v>
      </c>
      <c r="C869" s="2">
        <v>45820</v>
      </c>
      <c r="D869">
        <v>46</v>
      </c>
      <c r="E869">
        <v>9</v>
      </c>
      <c r="H869">
        <v>6</v>
      </c>
      <c r="I869">
        <f t="shared" si="130"/>
        <v>61</v>
      </c>
      <c r="J869" t="s">
        <v>56</v>
      </c>
      <c r="L869">
        <v>9</v>
      </c>
      <c r="M869" t="s">
        <v>18</v>
      </c>
      <c r="N869" s="2">
        <v>45821</v>
      </c>
      <c r="O869">
        <v>38</v>
      </c>
      <c r="P869">
        <v>16</v>
      </c>
      <c r="S869">
        <v>8</v>
      </c>
      <c r="T869">
        <f t="shared" si="131"/>
        <v>62</v>
      </c>
      <c r="U869" t="s">
        <v>56</v>
      </c>
    </row>
    <row r="870" spans="1:21">
      <c r="A870">
        <v>10</v>
      </c>
      <c r="B870" t="s">
        <v>19</v>
      </c>
      <c r="C870" s="2">
        <v>45820</v>
      </c>
      <c r="D870">
        <v>89</v>
      </c>
      <c r="E870">
        <v>62</v>
      </c>
      <c r="H870">
        <v>18</v>
      </c>
      <c r="I870">
        <f t="shared" si="130"/>
        <v>169</v>
      </c>
      <c r="J870" t="s">
        <v>53</v>
      </c>
      <c r="L870">
        <v>10</v>
      </c>
      <c r="M870" t="s">
        <v>19</v>
      </c>
      <c r="N870" s="2">
        <v>45821</v>
      </c>
      <c r="T870">
        <f t="shared" si="131"/>
        <v>0</v>
      </c>
      <c r="U870" t="s">
        <v>53</v>
      </c>
    </row>
    <row r="871" spans="1:21">
      <c r="A871">
        <v>11</v>
      </c>
      <c r="B871" t="s">
        <v>25</v>
      </c>
      <c r="C871" s="2">
        <v>45820</v>
      </c>
      <c r="D871">
        <v>9</v>
      </c>
      <c r="E871">
        <v>6</v>
      </c>
      <c r="F871">
        <v>3</v>
      </c>
      <c r="G871">
        <v>0</v>
      </c>
      <c r="H871">
        <v>3</v>
      </c>
      <c r="I871">
        <f t="shared" si="130"/>
        <v>18</v>
      </c>
      <c r="J871" t="s">
        <v>54</v>
      </c>
      <c r="L871">
        <v>11</v>
      </c>
      <c r="M871" t="s">
        <v>25</v>
      </c>
      <c r="N871" s="2">
        <v>45821</v>
      </c>
      <c r="O871">
        <v>7</v>
      </c>
      <c r="P871">
        <v>1</v>
      </c>
      <c r="S871">
        <v>0</v>
      </c>
      <c r="T871">
        <f t="shared" si="131"/>
        <v>8</v>
      </c>
      <c r="U871" t="s">
        <v>54</v>
      </c>
    </row>
    <row r="872" spans="1:21">
      <c r="A872">
        <v>12</v>
      </c>
      <c r="B872" t="s">
        <v>27</v>
      </c>
      <c r="C872" s="2">
        <v>45820</v>
      </c>
      <c r="I872">
        <f t="shared" si="130"/>
        <v>0</v>
      </c>
      <c r="J872" t="s">
        <v>56</v>
      </c>
      <c r="L872">
        <v>12</v>
      </c>
      <c r="M872" t="s">
        <v>27</v>
      </c>
      <c r="N872" s="2">
        <v>45821</v>
      </c>
      <c r="O872">
        <v>175</v>
      </c>
      <c r="P872">
        <v>192</v>
      </c>
      <c r="Q872">
        <v>25</v>
      </c>
      <c r="R872">
        <v>20</v>
      </c>
      <c r="S872">
        <v>45</v>
      </c>
      <c r="T872">
        <f t="shared" si="131"/>
        <v>412</v>
      </c>
      <c r="U872" t="s">
        <v>56</v>
      </c>
    </row>
    <row r="873" spans="1:21">
      <c r="A873">
        <v>13</v>
      </c>
      <c r="B873" t="s">
        <v>20</v>
      </c>
      <c r="C873" s="2">
        <v>45820</v>
      </c>
      <c r="D873">
        <v>96</v>
      </c>
      <c r="E873">
        <v>89</v>
      </c>
      <c r="F873">
        <v>9</v>
      </c>
      <c r="G873">
        <v>6</v>
      </c>
      <c r="H873">
        <v>15</v>
      </c>
      <c r="I873">
        <f t="shared" si="130"/>
        <v>200</v>
      </c>
      <c r="J873" t="s">
        <v>57</v>
      </c>
      <c r="L873">
        <v>13</v>
      </c>
      <c r="M873" t="s">
        <v>20</v>
      </c>
      <c r="N873" s="2">
        <v>45821</v>
      </c>
      <c r="O873">
        <v>101</v>
      </c>
      <c r="P873">
        <v>97</v>
      </c>
      <c r="Q873">
        <v>13</v>
      </c>
      <c r="R873">
        <v>11</v>
      </c>
      <c r="S873">
        <v>24</v>
      </c>
      <c r="T873">
        <f t="shared" si="131"/>
        <v>222</v>
      </c>
      <c r="U873" t="s">
        <v>57</v>
      </c>
    </row>
    <row r="874" spans="1:21">
      <c r="A874">
        <v>14</v>
      </c>
      <c r="B874" t="s">
        <v>32</v>
      </c>
      <c r="C874" s="2">
        <v>45820</v>
      </c>
      <c r="I874">
        <f t="shared" si="130"/>
        <v>0</v>
      </c>
      <c r="J874" t="s">
        <v>50</v>
      </c>
      <c r="L874">
        <v>14</v>
      </c>
      <c r="M874" t="s">
        <v>32</v>
      </c>
      <c r="N874" s="2">
        <v>45821</v>
      </c>
      <c r="T874">
        <f t="shared" si="131"/>
        <v>0</v>
      </c>
      <c r="U874" t="s">
        <v>50</v>
      </c>
    </row>
    <row r="875" spans="1:21">
      <c r="A875">
        <v>15</v>
      </c>
      <c r="B875" t="s">
        <v>48</v>
      </c>
      <c r="C875" s="2">
        <v>45820</v>
      </c>
      <c r="I875">
        <f t="shared" si="130"/>
        <v>0</v>
      </c>
      <c r="J875" t="s">
        <v>59</v>
      </c>
      <c r="L875">
        <v>15</v>
      </c>
      <c r="M875" t="s">
        <v>48</v>
      </c>
      <c r="N875" s="2">
        <v>45821</v>
      </c>
      <c r="T875">
        <f t="shared" si="131"/>
        <v>0</v>
      </c>
      <c r="U875" t="s">
        <v>59</v>
      </c>
    </row>
    <row r="876" spans="1:21">
      <c r="A876">
        <v>16</v>
      </c>
      <c r="B876" t="s">
        <v>37</v>
      </c>
      <c r="C876" s="2">
        <v>45820</v>
      </c>
      <c r="D876">
        <v>19</v>
      </c>
      <c r="E876">
        <v>14</v>
      </c>
      <c r="F876">
        <v>4</v>
      </c>
      <c r="G876">
        <v>0</v>
      </c>
      <c r="H876">
        <v>4</v>
      </c>
      <c r="I876">
        <f t="shared" si="130"/>
        <v>37</v>
      </c>
      <c r="J876" t="s">
        <v>55</v>
      </c>
      <c r="L876">
        <v>16</v>
      </c>
      <c r="M876" t="s">
        <v>37</v>
      </c>
      <c r="N876" s="2">
        <v>45821</v>
      </c>
      <c r="O876">
        <v>15</v>
      </c>
      <c r="P876">
        <v>11</v>
      </c>
      <c r="Q876">
        <v>2</v>
      </c>
      <c r="R876">
        <v>1</v>
      </c>
      <c r="S876">
        <v>3</v>
      </c>
      <c r="T876">
        <f t="shared" si="131"/>
        <v>29</v>
      </c>
      <c r="U876" t="s">
        <v>55</v>
      </c>
    </row>
    <row r="877" spans="1:21">
      <c r="A877">
        <v>17</v>
      </c>
      <c r="B877" t="s">
        <v>49</v>
      </c>
      <c r="C877" s="2">
        <v>45820</v>
      </c>
      <c r="I877">
        <f t="shared" si="130"/>
        <v>0</v>
      </c>
      <c r="J877" t="s">
        <v>59</v>
      </c>
      <c r="L877">
        <v>17</v>
      </c>
      <c r="M877" t="s">
        <v>49</v>
      </c>
      <c r="N877" s="2">
        <v>45821</v>
      </c>
      <c r="T877">
        <f t="shared" si="131"/>
        <v>0</v>
      </c>
      <c r="U877" t="s">
        <v>59</v>
      </c>
    </row>
    <row r="878" spans="1:21">
      <c r="A878">
        <v>18</v>
      </c>
      <c r="B878" t="s">
        <v>21</v>
      </c>
      <c r="C878" s="2">
        <v>45820</v>
      </c>
      <c r="D878">
        <v>258</v>
      </c>
      <c r="E878">
        <v>420</v>
      </c>
      <c r="H878">
        <v>0</v>
      </c>
      <c r="I878">
        <f t="shared" si="130"/>
        <v>678</v>
      </c>
      <c r="J878" t="s">
        <v>59</v>
      </c>
      <c r="L878">
        <v>18</v>
      </c>
      <c r="M878" t="s">
        <v>21</v>
      </c>
      <c r="N878" s="2">
        <v>45821</v>
      </c>
      <c r="T878">
        <f t="shared" si="131"/>
        <v>0</v>
      </c>
      <c r="U878" t="s">
        <v>59</v>
      </c>
    </row>
    <row r="879" spans="1:21">
      <c r="A879">
        <v>19</v>
      </c>
      <c r="B879" t="s">
        <v>104</v>
      </c>
      <c r="C879" s="2">
        <v>45820</v>
      </c>
      <c r="I879">
        <f>D879+E879+H879</f>
        <v>0</v>
      </c>
      <c r="L879">
        <v>19</v>
      </c>
      <c r="M879" t="s">
        <v>104</v>
      </c>
      <c r="N879" s="2">
        <v>45821</v>
      </c>
      <c r="T879">
        <f>O879+P879+S879</f>
        <v>0</v>
      </c>
    </row>
    <row r="880" spans="1:21">
      <c r="A880">
        <v>20</v>
      </c>
      <c r="B880" t="s">
        <v>26</v>
      </c>
      <c r="C880" s="2">
        <v>45820</v>
      </c>
      <c r="I880">
        <f t="shared" ref="I880" si="132">D880+E880+H880</f>
        <v>0</v>
      </c>
      <c r="J880" t="s">
        <v>54</v>
      </c>
      <c r="L880">
        <v>20</v>
      </c>
      <c r="M880" t="s">
        <v>26</v>
      </c>
      <c r="N880" s="2">
        <v>45821</v>
      </c>
      <c r="T880">
        <f t="shared" ref="T880" si="133">O880+P880+S880</f>
        <v>0</v>
      </c>
      <c r="U880" t="s">
        <v>54</v>
      </c>
    </row>
    <row r="881" spans="1:21">
      <c r="B881" t="s">
        <v>8</v>
      </c>
      <c r="D881">
        <f>D861+D862+D863+D864+D865+D866+D868+D867+D869+D870+D871+D872+D873+D874+D876+D878</f>
        <v>787</v>
      </c>
      <c r="E881">
        <f>SUM(E861:E880)</f>
        <v>868</v>
      </c>
      <c r="I881">
        <f>I861+I862+I863+I864+I865+I866+I867+I868+I869+I870+I871+I872+I873+I874+I875+I876+I877+I878+I879+I880</f>
        <v>1706</v>
      </c>
      <c r="M881" t="s">
        <v>8</v>
      </c>
      <c r="O881">
        <f>O861+O862+O863+O864+O865+O866+O868+O867+O869+O870+O871+O872+O873+O874+O876+O878</f>
        <v>790</v>
      </c>
      <c r="P881">
        <f>SUM(P861:P880)</f>
        <v>734</v>
      </c>
      <c r="T881">
        <f>T861+T862+T863+T864+T865+T866+T867+T868+T869+T870+T871+T872+T873+T874+T875+T876+T877+T878+T879+T880</f>
        <v>1632</v>
      </c>
    </row>
    <row r="884" spans="1:21">
      <c r="B884" t="s">
        <v>38</v>
      </c>
      <c r="C884" t="s">
        <v>255</v>
      </c>
      <c r="M884" t="s">
        <v>38</v>
      </c>
      <c r="N884" t="s">
        <v>256</v>
      </c>
    </row>
    <row r="885" spans="1:21">
      <c r="A885" t="s">
        <v>0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t="s">
        <v>7</v>
      </c>
      <c r="I885" t="s">
        <v>8</v>
      </c>
      <c r="J885" t="s">
        <v>51</v>
      </c>
      <c r="L885" t="s">
        <v>0</v>
      </c>
      <c r="M885" t="s">
        <v>1</v>
      </c>
      <c r="N885" t="s">
        <v>2</v>
      </c>
      <c r="O885" t="s">
        <v>3</v>
      </c>
      <c r="P885" t="s">
        <v>4</v>
      </c>
      <c r="Q885" t="s">
        <v>5</v>
      </c>
      <c r="R885" t="s">
        <v>6</v>
      </c>
      <c r="S885" t="s">
        <v>7</v>
      </c>
      <c r="T885" t="s">
        <v>8</v>
      </c>
      <c r="U885" t="s">
        <v>51</v>
      </c>
    </row>
    <row r="886" spans="1:21">
      <c r="A886">
        <v>1</v>
      </c>
      <c r="B886" t="s">
        <v>9</v>
      </c>
      <c r="C886" s="2">
        <v>45822</v>
      </c>
      <c r="D886">
        <v>31</v>
      </c>
      <c r="E886">
        <v>26</v>
      </c>
      <c r="F886">
        <v>5</v>
      </c>
      <c r="G886">
        <v>7</v>
      </c>
      <c r="H886">
        <v>12</v>
      </c>
      <c r="I886">
        <f>D886+E886+H886</f>
        <v>69</v>
      </c>
      <c r="J886" t="s">
        <v>50</v>
      </c>
      <c r="L886">
        <v>1</v>
      </c>
      <c r="M886" t="s">
        <v>9</v>
      </c>
      <c r="N886" s="2">
        <v>45823</v>
      </c>
      <c r="O886">
        <v>24</v>
      </c>
      <c r="P886">
        <v>31</v>
      </c>
      <c r="Q886">
        <v>7</v>
      </c>
      <c r="R886">
        <v>6</v>
      </c>
      <c r="S886">
        <v>13</v>
      </c>
      <c r="T886">
        <f>O886+P886+S886</f>
        <v>68</v>
      </c>
      <c r="U886" t="s">
        <v>50</v>
      </c>
    </row>
    <row r="887" spans="1:21">
      <c r="A887">
        <v>2</v>
      </c>
      <c r="B887" t="s">
        <v>11</v>
      </c>
      <c r="C887" s="2">
        <v>45822</v>
      </c>
      <c r="D887">
        <v>12</v>
      </c>
      <c r="E887">
        <v>7</v>
      </c>
      <c r="F887">
        <v>0</v>
      </c>
      <c r="G887">
        <v>2</v>
      </c>
      <c r="H887">
        <v>2</v>
      </c>
      <c r="I887">
        <f>D887+E887+H887</f>
        <v>21</v>
      </c>
      <c r="J887" t="s">
        <v>52</v>
      </c>
      <c r="L887">
        <v>2</v>
      </c>
      <c r="M887" t="s">
        <v>11</v>
      </c>
      <c r="N887" s="2">
        <v>45823</v>
      </c>
      <c r="O887">
        <v>16</v>
      </c>
      <c r="P887">
        <v>2</v>
      </c>
      <c r="Q887">
        <v>0</v>
      </c>
      <c r="R887">
        <v>0</v>
      </c>
      <c r="S887">
        <v>2</v>
      </c>
      <c r="T887">
        <f>O887+P887+S887</f>
        <v>20</v>
      </c>
      <c r="U887" t="s">
        <v>52</v>
      </c>
    </row>
    <row r="888" spans="1:21">
      <c r="A888">
        <v>3</v>
      </c>
      <c r="B888" t="s">
        <v>12</v>
      </c>
      <c r="C888" s="2">
        <v>45822</v>
      </c>
      <c r="D888">
        <v>55</v>
      </c>
      <c r="E888">
        <v>50</v>
      </c>
      <c r="H888">
        <v>0</v>
      </c>
      <c r="I888">
        <f>SUM(D888,E888,H888)</f>
        <v>105</v>
      </c>
      <c r="J888" t="s">
        <v>53</v>
      </c>
      <c r="L888">
        <v>3</v>
      </c>
      <c r="M888" t="s">
        <v>12</v>
      </c>
      <c r="N888" s="2">
        <v>45823</v>
      </c>
      <c r="O888">
        <v>27</v>
      </c>
      <c r="P888">
        <v>18</v>
      </c>
      <c r="S888">
        <v>0</v>
      </c>
      <c r="T888">
        <f>SUM(O888,P888,S888)</f>
        <v>45</v>
      </c>
      <c r="U888" t="s">
        <v>53</v>
      </c>
    </row>
    <row r="889" spans="1:21">
      <c r="A889">
        <v>4</v>
      </c>
      <c r="B889" t="s">
        <v>13</v>
      </c>
      <c r="C889" s="2">
        <v>45822</v>
      </c>
      <c r="D889">
        <v>16</v>
      </c>
      <c r="E889">
        <v>5</v>
      </c>
      <c r="H889">
        <v>0</v>
      </c>
      <c r="I889">
        <f t="shared" ref="I889:I903" si="134">D889+E889+H889</f>
        <v>21</v>
      </c>
      <c r="J889" t="s">
        <v>52</v>
      </c>
      <c r="L889">
        <v>4</v>
      </c>
      <c r="M889" t="s">
        <v>13</v>
      </c>
      <c r="N889" s="2">
        <v>45823</v>
      </c>
      <c r="O889">
        <v>20</v>
      </c>
      <c r="P889">
        <v>3</v>
      </c>
      <c r="S889">
        <v>3</v>
      </c>
      <c r="T889">
        <f t="shared" ref="T889:T903" si="135">O889+P889+S889</f>
        <v>26</v>
      </c>
      <c r="U889" t="s">
        <v>52</v>
      </c>
    </row>
    <row r="890" spans="1:21">
      <c r="A890">
        <v>5</v>
      </c>
      <c r="B890" t="s">
        <v>14</v>
      </c>
      <c r="C890" s="2">
        <v>45822</v>
      </c>
      <c r="D890">
        <v>430</v>
      </c>
      <c r="E890">
        <v>604</v>
      </c>
      <c r="H890">
        <v>272</v>
      </c>
      <c r="I890">
        <f t="shared" si="134"/>
        <v>1306</v>
      </c>
      <c r="J890" t="s">
        <v>54</v>
      </c>
      <c r="L890">
        <v>5</v>
      </c>
      <c r="M890" t="s">
        <v>14</v>
      </c>
      <c r="N890" s="2">
        <v>45823</v>
      </c>
      <c r="O890">
        <v>40</v>
      </c>
      <c r="P890">
        <v>69</v>
      </c>
      <c r="S890">
        <v>11</v>
      </c>
      <c r="T890">
        <f t="shared" si="135"/>
        <v>120</v>
      </c>
      <c r="U890" t="s">
        <v>54</v>
      </c>
    </row>
    <row r="891" spans="1:21">
      <c r="A891">
        <v>6</v>
      </c>
      <c r="B891" t="s">
        <v>15</v>
      </c>
      <c r="C891" s="2">
        <v>45822</v>
      </c>
      <c r="D891">
        <v>86</v>
      </c>
      <c r="E891">
        <v>40</v>
      </c>
      <c r="H891">
        <v>0</v>
      </c>
      <c r="I891">
        <f t="shared" si="134"/>
        <v>126</v>
      </c>
      <c r="J891" t="s">
        <v>55</v>
      </c>
      <c r="L891">
        <v>6</v>
      </c>
      <c r="M891" t="s">
        <v>15</v>
      </c>
      <c r="N891" s="2">
        <v>45823</v>
      </c>
      <c r="O891">
        <v>84</v>
      </c>
      <c r="P891">
        <v>50</v>
      </c>
      <c r="S891">
        <v>0</v>
      </c>
      <c r="T891">
        <f t="shared" si="135"/>
        <v>134</v>
      </c>
      <c r="U891" t="s">
        <v>55</v>
      </c>
    </row>
    <row r="892" spans="1:21">
      <c r="A892">
        <v>7</v>
      </c>
      <c r="B892" t="s">
        <v>16</v>
      </c>
      <c r="C892" s="2">
        <v>45822</v>
      </c>
      <c r="I892">
        <f t="shared" si="134"/>
        <v>0</v>
      </c>
      <c r="J892" t="s">
        <v>52</v>
      </c>
      <c r="L892">
        <v>7</v>
      </c>
      <c r="M892" t="s">
        <v>16</v>
      </c>
      <c r="N892" s="2">
        <v>45823</v>
      </c>
      <c r="T892">
        <f t="shared" si="135"/>
        <v>0</v>
      </c>
      <c r="U892" t="s">
        <v>52</v>
      </c>
    </row>
    <row r="893" spans="1:21">
      <c r="A893">
        <v>8</v>
      </c>
      <c r="B893" t="s">
        <v>17</v>
      </c>
      <c r="C893" s="2">
        <v>45822</v>
      </c>
      <c r="D893">
        <v>24</v>
      </c>
      <c r="E893">
        <v>14</v>
      </c>
      <c r="H893">
        <v>4</v>
      </c>
      <c r="I893">
        <f t="shared" si="134"/>
        <v>42</v>
      </c>
      <c r="J893" t="s">
        <v>50</v>
      </c>
      <c r="L893">
        <v>8</v>
      </c>
      <c r="M893" t="s">
        <v>17</v>
      </c>
      <c r="N893" s="2">
        <v>45823</v>
      </c>
      <c r="O893">
        <v>132</v>
      </c>
      <c r="P893">
        <v>155</v>
      </c>
      <c r="Q893">
        <v>12</v>
      </c>
      <c r="R893">
        <v>14</v>
      </c>
      <c r="S893">
        <v>26</v>
      </c>
      <c r="T893">
        <f t="shared" si="135"/>
        <v>313</v>
      </c>
      <c r="U893" t="s">
        <v>50</v>
      </c>
    </row>
    <row r="894" spans="1:21">
      <c r="A894">
        <v>9</v>
      </c>
      <c r="B894" t="s">
        <v>18</v>
      </c>
      <c r="C894" s="2">
        <v>45822</v>
      </c>
      <c r="D894">
        <v>61</v>
      </c>
      <c r="E894">
        <v>19</v>
      </c>
      <c r="H894">
        <v>9</v>
      </c>
      <c r="I894">
        <f t="shared" si="134"/>
        <v>89</v>
      </c>
      <c r="J894" t="s">
        <v>56</v>
      </c>
      <c r="L894">
        <v>9</v>
      </c>
      <c r="M894" t="s">
        <v>18</v>
      </c>
      <c r="N894" s="2">
        <v>45823</v>
      </c>
      <c r="O894">
        <v>68</v>
      </c>
      <c r="P894">
        <v>12</v>
      </c>
      <c r="S894">
        <v>1</v>
      </c>
      <c r="T894">
        <f t="shared" si="135"/>
        <v>81</v>
      </c>
      <c r="U894" t="s">
        <v>56</v>
      </c>
    </row>
    <row r="895" spans="1:21">
      <c r="A895">
        <v>10</v>
      </c>
      <c r="B895" t="s">
        <v>19</v>
      </c>
      <c r="C895" s="2">
        <v>45822</v>
      </c>
      <c r="I895">
        <f t="shared" si="134"/>
        <v>0</v>
      </c>
      <c r="J895" t="s">
        <v>53</v>
      </c>
      <c r="L895">
        <v>10</v>
      </c>
      <c r="M895" t="s">
        <v>19</v>
      </c>
      <c r="N895" s="2">
        <v>45823</v>
      </c>
      <c r="T895">
        <f t="shared" si="135"/>
        <v>0</v>
      </c>
      <c r="U895" t="s">
        <v>53</v>
      </c>
    </row>
    <row r="896" spans="1:21">
      <c r="A896">
        <v>11</v>
      </c>
      <c r="B896" t="s">
        <v>25</v>
      </c>
      <c r="C896" s="2">
        <v>45822</v>
      </c>
      <c r="D896">
        <v>10</v>
      </c>
      <c r="E896">
        <v>1</v>
      </c>
      <c r="F896">
        <v>0</v>
      </c>
      <c r="G896">
        <v>1</v>
      </c>
      <c r="H896">
        <v>1</v>
      </c>
      <c r="I896">
        <f t="shared" si="134"/>
        <v>12</v>
      </c>
      <c r="J896" t="s">
        <v>54</v>
      </c>
      <c r="L896">
        <v>11</v>
      </c>
      <c r="M896" t="s">
        <v>25</v>
      </c>
      <c r="N896" s="2">
        <v>45823</v>
      </c>
      <c r="O896">
        <v>10</v>
      </c>
      <c r="P896">
        <v>2</v>
      </c>
      <c r="Q896">
        <v>0</v>
      </c>
      <c r="R896">
        <v>0</v>
      </c>
      <c r="S896">
        <v>0</v>
      </c>
      <c r="T896">
        <f t="shared" si="135"/>
        <v>12</v>
      </c>
      <c r="U896" t="s">
        <v>54</v>
      </c>
    </row>
    <row r="897" spans="1:21">
      <c r="A897">
        <v>12</v>
      </c>
      <c r="B897" t="s">
        <v>27</v>
      </c>
      <c r="C897" s="2">
        <v>45822</v>
      </c>
      <c r="D897">
        <v>192</v>
      </c>
      <c r="E897">
        <v>170</v>
      </c>
      <c r="F897">
        <v>25</v>
      </c>
      <c r="G897">
        <v>22</v>
      </c>
      <c r="H897">
        <v>47</v>
      </c>
      <c r="I897">
        <f t="shared" si="134"/>
        <v>409</v>
      </c>
      <c r="J897" t="s">
        <v>56</v>
      </c>
      <c r="L897">
        <v>12</v>
      </c>
      <c r="M897" t="s">
        <v>27</v>
      </c>
      <c r="N897" s="2">
        <v>45823</v>
      </c>
      <c r="T897">
        <f t="shared" si="135"/>
        <v>0</v>
      </c>
      <c r="U897" t="s">
        <v>56</v>
      </c>
    </row>
    <row r="898" spans="1:21">
      <c r="A898">
        <v>13</v>
      </c>
      <c r="B898" t="s">
        <v>20</v>
      </c>
      <c r="C898" s="2">
        <v>45822</v>
      </c>
      <c r="I898">
        <f t="shared" si="134"/>
        <v>0</v>
      </c>
      <c r="J898" t="s">
        <v>57</v>
      </c>
      <c r="L898">
        <v>13</v>
      </c>
      <c r="M898" t="s">
        <v>20</v>
      </c>
      <c r="N898" s="2">
        <v>45823</v>
      </c>
      <c r="O898">
        <v>76</v>
      </c>
      <c r="P898">
        <v>66</v>
      </c>
      <c r="Q898">
        <v>7</v>
      </c>
      <c r="R898">
        <v>5</v>
      </c>
      <c r="S898">
        <v>12</v>
      </c>
      <c r="T898">
        <f t="shared" si="135"/>
        <v>154</v>
      </c>
      <c r="U898" t="s">
        <v>57</v>
      </c>
    </row>
    <row r="899" spans="1:21">
      <c r="A899">
        <v>14</v>
      </c>
      <c r="B899" t="s">
        <v>32</v>
      </c>
      <c r="C899" s="2">
        <v>45822</v>
      </c>
      <c r="D899">
        <v>38</v>
      </c>
      <c r="E899">
        <v>39</v>
      </c>
      <c r="F899">
        <v>1</v>
      </c>
      <c r="G899">
        <v>6</v>
      </c>
      <c r="H899">
        <v>7</v>
      </c>
      <c r="I899">
        <f t="shared" si="134"/>
        <v>84</v>
      </c>
      <c r="J899" t="s">
        <v>50</v>
      </c>
      <c r="L899">
        <v>14</v>
      </c>
      <c r="M899" t="s">
        <v>32</v>
      </c>
      <c r="N899" s="2">
        <v>45823</v>
      </c>
      <c r="O899">
        <v>32</v>
      </c>
      <c r="P899">
        <v>16</v>
      </c>
      <c r="Q899">
        <v>1</v>
      </c>
      <c r="R899">
        <v>4</v>
      </c>
      <c r="S899">
        <v>5</v>
      </c>
      <c r="T899">
        <f t="shared" si="135"/>
        <v>53</v>
      </c>
      <c r="U899" t="s">
        <v>50</v>
      </c>
    </row>
    <row r="900" spans="1:21">
      <c r="A900">
        <v>15</v>
      </c>
      <c r="B900" t="s">
        <v>48</v>
      </c>
      <c r="C900" s="2">
        <v>45822</v>
      </c>
      <c r="I900">
        <f t="shared" si="134"/>
        <v>0</v>
      </c>
      <c r="J900" t="s">
        <v>59</v>
      </c>
      <c r="L900">
        <v>15</v>
      </c>
      <c r="M900" t="s">
        <v>48</v>
      </c>
      <c r="N900" s="2">
        <v>45823</v>
      </c>
      <c r="T900">
        <f t="shared" si="135"/>
        <v>0</v>
      </c>
      <c r="U900" t="s">
        <v>59</v>
      </c>
    </row>
    <row r="901" spans="1:21">
      <c r="A901">
        <v>16</v>
      </c>
      <c r="B901" t="s">
        <v>37</v>
      </c>
      <c r="C901" s="2">
        <v>45822</v>
      </c>
      <c r="I901">
        <f t="shared" si="134"/>
        <v>0</v>
      </c>
      <c r="J901" t="s">
        <v>55</v>
      </c>
      <c r="L901">
        <v>16</v>
      </c>
      <c r="M901" t="s">
        <v>37</v>
      </c>
      <c r="N901" s="2">
        <v>45823</v>
      </c>
      <c r="O901">
        <v>12</v>
      </c>
      <c r="P901">
        <v>10</v>
      </c>
      <c r="Q901">
        <v>2</v>
      </c>
      <c r="R901">
        <v>1</v>
      </c>
      <c r="S901">
        <v>3</v>
      </c>
      <c r="T901">
        <f t="shared" si="135"/>
        <v>25</v>
      </c>
      <c r="U901" t="s">
        <v>55</v>
      </c>
    </row>
    <row r="902" spans="1:21">
      <c r="A902">
        <v>17</v>
      </c>
      <c r="B902" t="s">
        <v>49</v>
      </c>
      <c r="C902" s="2">
        <v>45822</v>
      </c>
      <c r="I902">
        <f t="shared" si="134"/>
        <v>0</v>
      </c>
      <c r="J902" t="s">
        <v>59</v>
      </c>
      <c r="L902">
        <v>17</v>
      </c>
      <c r="M902" t="s">
        <v>49</v>
      </c>
      <c r="N902" s="2">
        <v>45823</v>
      </c>
      <c r="T902">
        <f t="shared" si="135"/>
        <v>0</v>
      </c>
      <c r="U902" t="s">
        <v>59</v>
      </c>
    </row>
    <row r="903" spans="1:21">
      <c r="A903">
        <v>18</v>
      </c>
      <c r="B903" t="s">
        <v>21</v>
      </c>
      <c r="C903" s="2">
        <v>45822</v>
      </c>
      <c r="D903">
        <v>265</v>
      </c>
      <c r="E903">
        <v>345</v>
      </c>
      <c r="H903">
        <v>25</v>
      </c>
      <c r="I903">
        <f t="shared" si="134"/>
        <v>635</v>
      </c>
      <c r="J903" t="s">
        <v>59</v>
      </c>
      <c r="L903">
        <v>18</v>
      </c>
      <c r="M903" t="s">
        <v>21</v>
      </c>
      <c r="N903" s="2">
        <v>45823</v>
      </c>
      <c r="T903">
        <f t="shared" si="135"/>
        <v>0</v>
      </c>
      <c r="U903" t="s">
        <v>59</v>
      </c>
    </row>
    <row r="904" spans="1:21">
      <c r="A904">
        <v>19</v>
      </c>
      <c r="B904" t="s">
        <v>104</v>
      </c>
      <c r="C904" s="2">
        <v>45822</v>
      </c>
      <c r="I904">
        <f>D904+E904+H904</f>
        <v>0</v>
      </c>
      <c r="L904">
        <v>19</v>
      </c>
      <c r="M904" t="s">
        <v>104</v>
      </c>
      <c r="N904" s="2">
        <v>45823</v>
      </c>
      <c r="T904">
        <f>O904+P904+S904</f>
        <v>0</v>
      </c>
    </row>
    <row r="905" spans="1:21">
      <c r="A905">
        <v>20</v>
      </c>
      <c r="B905" t="s">
        <v>26</v>
      </c>
      <c r="C905" s="2">
        <v>45822</v>
      </c>
      <c r="I905">
        <f t="shared" ref="I905" si="136">D905+E905+H905</f>
        <v>0</v>
      </c>
      <c r="J905" t="s">
        <v>54</v>
      </c>
      <c r="L905">
        <v>20</v>
      </c>
      <c r="M905" t="s">
        <v>26</v>
      </c>
      <c r="N905" s="2">
        <v>45823</v>
      </c>
      <c r="T905">
        <f t="shared" ref="T905" si="137">O905+P905+S905</f>
        <v>0</v>
      </c>
      <c r="U905" t="s">
        <v>54</v>
      </c>
    </row>
    <row r="906" spans="1:21">
      <c r="B906" t="s">
        <v>8</v>
      </c>
      <c r="D906">
        <f>D886+D887+D888+D889+D890+D891+D893+D892+D894+D895+D896+D897+D898+D899+D901+D903</f>
        <v>1220</v>
      </c>
      <c r="E906">
        <f>SUM(E886:E905)</f>
        <v>1320</v>
      </c>
      <c r="I906">
        <f>I886+I887+I888+I889+I890+I891+I892+I893+I894+I895+I896+I897+I898+I899+I900+I901+I902+I903+I904+I905</f>
        <v>2919</v>
      </c>
      <c r="M906" t="s">
        <v>8</v>
      </c>
      <c r="O906">
        <f>O886+O887+O888+O889+O890+O891+O893+O892+O894+O895+O896+O897+O898+O899+O901+O903</f>
        <v>541</v>
      </c>
      <c r="P906">
        <f>SUM(P886:P905)</f>
        <v>434</v>
      </c>
      <c r="T906">
        <f>T886+T887+T888+T889+T890+T891+T892+T893+T894+T895+T896+T897+T898+T899+T900+T901+T902+T903+T904+T905</f>
        <v>1051</v>
      </c>
    </row>
    <row r="908" spans="1:21">
      <c r="B908" t="s">
        <v>38</v>
      </c>
      <c r="C908" t="s">
        <v>257</v>
      </c>
      <c r="M908" t="s">
        <v>38</v>
      </c>
      <c r="N908" t="s">
        <v>258</v>
      </c>
    </row>
    <row r="909" spans="1:21">
      <c r="A909" t="s">
        <v>0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t="s">
        <v>7</v>
      </c>
      <c r="I909" t="s">
        <v>8</v>
      </c>
      <c r="J909" t="s">
        <v>51</v>
      </c>
      <c r="L909" t="s">
        <v>0</v>
      </c>
      <c r="M909" t="s">
        <v>1</v>
      </c>
      <c r="N909" t="s">
        <v>2</v>
      </c>
      <c r="O909" t="s">
        <v>3</v>
      </c>
      <c r="P909" t="s">
        <v>4</v>
      </c>
      <c r="Q909" t="s">
        <v>5</v>
      </c>
      <c r="R909" t="s">
        <v>6</v>
      </c>
      <c r="S909" t="s">
        <v>7</v>
      </c>
      <c r="T909" t="s">
        <v>8</v>
      </c>
      <c r="U909" t="s">
        <v>51</v>
      </c>
    </row>
    <row r="910" spans="1:21">
      <c r="A910">
        <v>1</v>
      </c>
      <c r="B910" t="s">
        <v>9</v>
      </c>
      <c r="C910" s="2">
        <v>45824</v>
      </c>
      <c r="D910">
        <v>24</v>
      </c>
      <c r="E910">
        <v>21</v>
      </c>
      <c r="F910">
        <v>10</v>
      </c>
      <c r="G910">
        <v>6</v>
      </c>
      <c r="H910">
        <v>16</v>
      </c>
      <c r="I910">
        <f>D910+E910+H910</f>
        <v>61</v>
      </c>
      <c r="J910" t="s">
        <v>50</v>
      </c>
      <c r="L910">
        <v>1</v>
      </c>
      <c r="M910" t="s">
        <v>9</v>
      </c>
      <c r="N910" s="3">
        <v>45825</v>
      </c>
      <c r="O910">
        <v>25</v>
      </c>
      <c r="P910">
        <v>18</v>
      </c>
      <c r="Q910">
        <v>1</v>
      </c>
      <c r="R910">
        <v>1</v>
      </c>
      <c r="S910">
        <v>2</v>
      </c>
      <c r="T910">
        <f>O910+P910+S910</f>
        <v>45</v>
      </c>
      <c r="U910" t="s">
        <v>50</v>
      </c>
    </row>
    <row r="911" spans="1:21">
      <c r="A911">
        <v>2</v>
      </c>
      <c r="B911" t="s">
        <v>11</v>
      </c>
      <c r="C911" s="2">
        <v>45824</v>
      </c>
      <c r="D911">
        <v>16</v>
      </c>
      <c r="E911">
        <v>12</v>
      </c>
      <c r="H911">
        <v>0</v>
      </c>
      <c r="I911">
        <f>D911+E911+H911</f>
        <v>28</v>
      </c>
      <c r="J911" t="s">
        <v>52</v>
      </c>
      <c r="L911">
        <v>2</v>
      </c>
      <c r="M911" t="s">
        <v>11</v>
      </c>
      <c r="N911" s="3">
        <v>45825</v>
      </c>
      <c r="O911">
        <v>23</v>
      </c>
      <c r="P911">
        <v>5</v>
      </c>
      <c r="Q911">
        <v>4</v>
      </c>
      <c r="R911">
        <v>5</v>
      </c>
      <c r="S911">
        <v>9</v>
      </c>
      <c r="T911">
        <f>O911+P911+S911</f>
        <v>37</v>
      </c>
      <c r="U911" t="s">
        <v>52</v>
      </c>
    </row>
    <row r="912" spans="1:21">
      <c r="A912">
        <v>3</v>
      </c>
      <c r="B912" t="s">
        <v>12</v>
      </c>
      <c r="C912" s="2">
        <v>45824</v>
      </c>
      <c r="I912">
        <f>SUM(D912,E912,H912)</f>
        <v>0</v>
      </c>
      <c r="J912" t="s">
        <v>53</v>
      </c>
      <c r="L912">
        <v>3</v>
      </c>
      <c r="M912" t="s">
        <v>12</v>
      </c>
      <c r="N912" s="3">
        <v>45825</v>
      </c>
      <c r="O912">
        <v>38</v>
      </c>
      <c r="P912">
        <v>39</v>
      </c>
      <c r="S912">
        <v>0</v>
      </c>
      <c r="T912">
        <f>SUM(O912,P912,S912)</f>
        <v>77</v>
      </c>
      <c r="U912" t="s">
        <v>53</v>
      </c>
    </row>
    <row r="913" spans="1:21">
      <c r="A913">
        <v>4</v>
      </c>
      <c r="B913" t="s">
        <v>13</v>
      </c>
      <c r="C913" s="2">
        <v>45824</v>
      </c>
      <c r="D913">
        <v>24</v>
      </c>
      <c r="E913">
        <v>19</v>
      </c>
      <c r="H913">
        <v>12</v>
      </c>
      <c r="I913">
        <f t="shared" ref="I913:I927" si="138">D913+E913+H913</f>
        <v>55</v>
      </c>
      <c r="J913" t="s">
        <v>52</v>
      </c>
      <c r="L913">
        <v>4</v>
      </c>
      <c r="M913" t="s">
        <v>13</v>
      </c>
      <c r="N913" s="3">
        <v>45825</v>
      </c>
      <c r="O913">
        <v>32</v>
      </c>
      <c r="P913">
        <v>15</v>
      </c>
      <c r="S913">
        <v>7</v>
      </c>
      <c r="T913">
        <f t="shared" ref="T913:T927" si="139">O913+P913+S913</f>
        <v>54</v>
      </c>
      <c r="U913" t="s">
        <v>52</v>
      </c>
    </row>
    <row r="914" spans="1:21">
      <c r="A914">
        <v>5</v>
      </c>
      <c r="B914" t="s">
        <v>14</v>
      </c>
      <c r="C914" s="2">
        <v>45824</v>
      </c>
      <c r="D914">
        <v>361</v>
      </c>
      <c r="E914">
        <v>581</v>
      </c>
      <c r="H914">
        <v>204</v>
      </c>
      <c r="I914">
        <f t="shared" si="138"/>
        <v>1146</v>
      </c>
      <c r="J914" t="s">
        <v>54</v>
      </c>
      <c r="L914">
        <v>5</v>
      </c>
      <c r="M914" t="s">
        <v>14</v>
      </c>
      <c r="N914" s="3">
        <v>45825</v>
      </c>
      <c r="T914">
        <f t="shared" si="139"/>
        <v>0</v>
      </c>
      <c r="U914" t="s">
        <v>54</v>
      </c>
    </row>
    <row r="915" spans="1:21">
      <c r="A915">
        <v>6</v>
      </c>
      <c r="B915" t="s">
        <v>15</v>
      </c>
      <c r="C915" s="2">
        <v>45824</v>
      </c>
      <c r="D915">
        <v>120</v>
      </c>
      <c r="E915">
        <v>111</v>
      </c>
      <c r="H915">
        <v>0</v>
      </c>
      <c r="I915">
        <f t="shared" si="138"/>
        <v>231</v>
      </c>
      <c r="J915" t="s">
        <v>55</v>
      </c>
      <c r="L915">
        <v>6</v>
      </c>
      <c r="M915" t="s">
        <v>15</v>
      </c>
      <c r="N915" s="3">
        <v>45825</v>
      </c>
      <c r="O915">
        <v>112</v>
      </c>
      <c r="P915">
        <v>145</v>
      </c>
      <c r="S915">
        <v>0</v>
      </c>
      <c r="T915">
        <f t="shared" si="139"/>
        <v>257</v>
      </c>
      <c r="U915" t="s">
        <v>55</v>
      </c>
    </row>
    <row r="916" spans="1:21">
      <c r="A916">
        <v>7</v>
      </c>
      <c r="B916" t="s">
        <v>16</v>
      </c>
      <c r="C916" s="2">
        <v>45824</v>
      </c>
      <c r="D916">
        <v>50</v>
      </c>
      <c r="E916">
        <v>28</v>
      </c>
      <c r="H916">
        <v>0</v>
      </c>
      <c r="I916">
        <f t="shared" si="138"/>
        <v>78</v>
      </c>
      <c r="J916" t="s">
        <v>52</v>
      </c>
      <c r="L916">
        <v>7</v>
      </c>
      <c r="M916" t="s">
        <v>16</v>
      </c>
      <c r="N916" s="3">
        <v>45825</v>
      </c>
      <c r="O916">
        <v>57</v>
      </c>
      <c r="P916">
        <v>48</v>
      </c>
      <c r="S916">
        <v>0</v>
      </c>
      <c r="T916">
        <f t="shared" si="139"/>
        <v>105</v>
      </c>
      <c r="U916" t="s">
        <v>52</v>
      </c>
    </row>
    <row r="917" spans="1:21">
      <c r="A917">
        <v>8</v>
      </c>
      <c r="B917" t="s">
        <v>17</v>
      </c>
      <c r="C917" s="2">
        <v>45824</v>
      </c>
      <c r="D917">
        <v>141</v>
      </c>
      <c r="E917">
        <v>158</v>
      </c>
      <c r="I917">
        <f t="shared" si="138"/>
        <v>299</v>
      </c>
      <c r="J917" t="s">
        <v>50</v>
      </c>
      <c r="L917">
        <v>8</v>
      </c>
      <c r="M917" t="s">
        <v>17</v>
      </c>
      <c r="N917" s="3">
        <v>45825</v>
      </c>
      <c r="O917">
        <v>22</v>
      </c>
      <c r="P917">
        <v>19</v>
      </c>
      <c r="S917">
        <v>2</v>
      </c>
      <c r="T917">
        <f t="shared" si="139"/>
        <v>43</v>
      </c>
      <c r="U917" t="s">
        <v>50</v>
      </c>
    </row>
    <row r="918" spans="1:21">
      <c r="A918">
        <v>9</v>
      </c>
      <c r="B918" t="s">
        <v>18</v>
      </c>
      <c r="C918" s="2">
        <v>45824</v>
      </c>
      <c r="D918">
        <v>56</v>
      </c>
      <c r="E918">
        <v>13</v>
      </c>
      <c r="H918">
        <v>7</v>
      </c>
      <c r="I918">
        <f t="shared" si="138"/>
        <v>76</v>
      </c>
      <c r="J918" t="s">
        <v>56</v>
      </c>
      <c r="L918">
        <v>9</v>
      </c>
      <c r="M918" t="s">
        <v>18</v>
      </c>
      <c r="N918" s="3">
        <v>45825</v>
      </c>
      <c r="O918">
        <v>75</v>
      </c>
      <c r="P918">
        <v>10</v>
      </c>
      <c r="S918">
        <v>8</v>
      </c>
      <c r="T918">
        <f t="shared" si="139"/>
        <v>93</v>
      </c>
      <c r="U918" t="s">
        <v>56</v>
      </c>
    </row>
    <row r="919" spans="1:21">
      <c r="A919">
        <v>10</v>
      </c>
      <c r="B919" t="s">
        <v>19</v>
      </c>
      <c r="C919" s="2">
        <v>45824</v>
      </c>
      <c r="D919">
        <v>154</v>
      </c>
      <c r="E919">
        <v>116</v>
      </c>
      <c r="H919">
        <v>49</v>
      </c>
      <c r="I919">
        <f t="shared" si="138"/>
        <v>319</v>
      </c>
      <c r="J919" t="s">
        <v>53</v>
      </c>
      <c r="L919">
        <v>10</v>
      </c>
      <c r="M919" t="s">
        <v>19</v>
      </c>
      <c r="N919" s="3">
        <v>45825</v>
      </c>
      <c r="T919">
        <f t="shared" si="139"/>
        <v>0</v>
      </c>
      <c r="U919" t="s">
        <v>53</v>
      </c>
    </row>
    <row r="920" spans="1:21">
      <c r="A920">
        <v>11</v>
      </c>
      <c r="B920" t="s">
        <v>25</v>
      </c>
      <c r="C920" s="2">
        <v>45824</v>
      </c>
      <c r="D920">
        <v>13</v>
      </c>
      <c r="E920">
        <v>3</v>
      </c>
      <c r="H920">
        <v>0</v>
      </c>
      <c r="I920">
        <f t="shared" si="138"/>
        <v>16</v>
      </c>
      <c r="J920" t="s">
        <v>54</v>
      </c>
      <c r="L920">
        <v>11</v>
      </c>
      <c r="M920" t="s">
        <v>25</v>
      </c>
      <c r="N920" s="3">
        <v>45825</v>
      </c>
      <c r="O920">
        <v>7</v>
      </c>
      <c r="P920">
        <v>0</v>
      </c>
      <c r="S920">
        <v>0</v>
      </c>
      <c r="T920">
        <f t="shared" si="139"/>
        <v>7</v>
      </c>
      <c r="U920" t="s">
        <v>54</v>
      </c>
    </row>
    <row r="921" spans="1:21">
      <c r="A921">
        <v>12</v>
      </c>
      <c r="B921" t="s">
        <v>27</v>
      </c>
      <c r="C921" s="2">
        <v>45824</v>
      </c>
      <c r="D921">
        <v>190</v>
      </c>
      <c r="E921">
        <v>173</v>
      </c>
      <c r="F921">
        <v>22</v>
      </c>
      <c r="G921">
        <v>16</v>
      </c>
      <c r="H921">
        <v>38</v>
      </c>
      <c r="I921">
        <f t="shared" si="138"/>
        <v>401</v>
      </c>
      <c r="J921" t="s">
        <v>56</v>
      </c>
      <c r="L921">
        <v>12</v>
      </c>
      <c r="M921" t="s">
        <v>27</v>
      </c>
      <c r="N921" s="3">
        <v>45825</v>
      </c>
      <c r="O921">
        <v>196</v>
      </c>
      <c r="P921">
        <v>201</v>
      </c>
      <c r="Q921">
        <v>23</v>
      </c>
      <c r="R921">
        <v>24</v>
      </c>
      <c r="S921">
        <v>47</v>
      </c>
      <c r="T921">
        <f t="shared" si="139"/>
        <v>444</v>
      </c>
      <c r="U921" t="s">
        <v>56</v>
      </c>
    </row>
    <row r="922" spans="1:21">
      <c r="A922">
        <v>13</v>
      </c>
      <c r="B922" t="s">
        <v>20</v>
      </c>
      <c r="C922" s="2">
        <v>45824</v>
      </c>
      <c r="I922">
        <f t="shared" si="138"/>
        <v>0</v>
      </c>
      <c r="J922" t="s">
        <v>57</v>
      </c>
      <c r="L922">
        <v>13</v>
      </c>
      <c r="M922" t="s">
        <v>20</v>
      </c>
      <c r="N922" s="3">
        <v>45825</v>
      </c>
      <c r="T922">
        <f t="shared" si="139"/>
        <v>0</v>
      </c>
      <c r="U922" t="s">
        <v>57</v>
      </c>
    </row>
    <row r="923" spans="1:21">
      <c r="A923">
        <v>14</v>
      </c>
      <c r="B923" t="s">
        <v>32</v>
      </c>
      <c r="C923" s="2">
        <v>45824</v>
      </c>
      <c r="D923">
        <v>52</v>
      </c>
      <c r="E923">
        <v>102</v>
      </c>
      <c r="F923">
        <v>4</v>
      </c>
      <c r="G923">
        <v>1</v>
      </c>
      <c r="H923">
        <v>5</v>
      </c>
      <c r="I923">
        <f t="shared" si="138"/>
        <v>159</v>
      </c>
      <c r="J923" t="s">
        <v>50</v>
      </c>
      <c r="L923">
        <v>14</v>
      </c>
      <c r="M923" t="s">
        <v>32</v>
      </c>
      <c r="N923" s="3">
        <v>45825</v>
      </c>
      <c r="O923">
        <v>48</v>
      </c>
      <c r="P923">
        <v>62</v>
      </c>
      <c r="Q923">
        <v>5</v>
      </c>
      <c r="R923">
        <v>3</v>
      </c>
      <c r="S923">
        <v>8</v>
      </c>
      <c r="T923">
        <f t="shared" si="139"/>
        <v>118</v>
      </c>
      <c r="U923" t="s">
        <v>50</v>
      </c>
    </row>
    <row r="924" spans="1:21">
      <c r="A924">
        <v>15</v>
      </c>
      <c r="B924" t="s">
        <v>48</v>
      </c>
      <c r="C924" s="2">
        <v>45824</v>
      </c>
      <c r="I924">
        <f t="shared" si="138"/>
        <v>0</v>
      </c>
      <c r="J924" t="s">
        <v>59</v>
      </c>
      <c r="L924">
        <v>15</v>
      </c>
      <c r="M924" t="s">
        <v>48</v>
      </c>
      <c r="N924" s="3">
        <v>45825</v>
      </c>
      <c r="T924">
        <f t="shared" si="139"/>
        <v>0</v>
      </c>
      <c r="U924" t="s">
        <v>59</v>
      </c>
    </row>
    <row r="925" spans="1:21">
      <c r="A925">
        <v>16</v>
      </c>
      <c r="B925" t="s">
        <v>37</v>
      </c>
      <c r="C925" s="2">
        <v>45824</v>
      </c>
      <c r="D925">
        <v>26</v>
      </c>
      <c r="E925">
        <v>12</v>
      </c>
      <c r="F925">
        <v>1</v>
      </c>
      <c r="G925">
        <v>2</v>
      </c>
      <c r="H925">
        <v>3</v>
      </c>
      <c r="I925">
        <f t="shared" si="138"/>
        <v>41</v>
      </c>
      <c r="J925" t="s">
        <v>55</v>
      </c>
      <c r="L925">
        <v>16</v>
      </c>
      <c r="M925" t="s">
        <v>37</v>
      </c>
      <c r="N925" s="3">
        <v>45825</v>
      </c>
      <c r="O925">
        <v>26</v>
      </c>
      <c r="P925">
        <v>14</v>
      </c>
      <c r="Q925">
        <v>0</v>
      </c>
      <c r="R925">
        <v>0</v>
      </c>
      <c r="S925">
        <v>0</v>
      </c>
      <c r="T925">
        <f t="shared" si="139"/>
        <v>40</v>
      </c>
      <c r="U925" t="s">
        <v>55</v>
      </c>
    </row>
    <row r="926" spans="1:21">
      <c r="A926">
        <v>17</v>
      </c>
      <c r="B926" t="s">
        <v>49</v>
      </c>
      <c r="C926" s="2">
        <v>45824</v>
      </c>
      <c r="I926">
        <f t="shared" si="138"/>
        <v>0</v>
      </c>
      <c r="J926" t="s">
        <v>59</v>
      </c>
      <c r="L926">
        <v>17</v>
      </c>
      <c r="M926" t="s">
        <v>49</v>
      </c>
      <c r="N926" s="3">
        <v>45825</v>
      </c>
      <c r="T926">
        <f t="shared" si="139"/>
        <v>0</v>
      </c>
      <c r="U926" t="s">
        <v>59</v>
      </c>
    </row>
    <row r="927" spans="1:21">
      <c r="A927">
        <v>18</v>
      </c>
      <c r="B927" t="s">
        <v>21</v>
      </c>
      <c r="C927" s="2">
        <v>45824</v>
      </c>
      <c r="I927">
        <f t="shared" si="138"/>
        <v>0</v>
      </c>
      <c r="J927" t="s">
        <v>59</v>
      </c>
      <c r="L927">
        <v>18</v>
      </c>
      <c r="M927" t="s">
        <v>21</v>
      </c>
      <c r="N927" s="3">
        <v>45825</v>
      </c>
      <c r="T927">
        <f t="shared" si="139"/>
        <v>0</v>
      </c>
      <c r="U927" t="s">
        <v>59</v>
      </c>
    </row>
    <row r="928" spans="1:21">
      <c r="A928">
        <v>19</v>
      </c>
      <c r="B928" t="s">
        <v>104</v>
      </c>
      <c r="C928" s="2">
        <v>45824</v>
      </c>
      <c r="I928">
        <f>D928+E928+H928</f>
        <v>0</v>
      </c>
      <c r="L928">
        <v>19</v>
      </c>
      <c r="M928" t="s">
        <v>104</v>
      </c>
      <c r="N928" s="3">
        <v>45825</v>
      </c>
      <c r="T928">
        <f>O928+P928+S928</f>
        <v>0</v>
      </c>
    </row>
    <row r="929" spans="1:21">
      <c r="A929">
        <v>20</v>
      </c>
      <c r="B929" t="s">
        <v>26</v>
      </c>
      <c r="C929" s="2">
        <v>45824</v>
      </c>
      <c r="I929">
        <f t="shared" ref="I929" si="140">D929+E929+H929</f>
        <v>0</v>
      </c>
      <c r="J929" t="s">
        <v>54</v>
      </c>
      <c r="L929">
        <v>20</v>
      </c>
      <c r="M929" t="s">
        <v>26</v>
      </c>
      <c r="N929" s="3">
        <v>45825</v>
      </c>
      <c r="T929">
        <f t="shared" ref="T929" si="141">O929+P929+S929</f>
        <v>0</v>
      </c>
      <c r="U929" t="s">
        <v>54</v>
      </c>
    </row>
    <row r="930" spans="1:21">
      <c r="B930" t="s">
        <v>8</v>
      </c>
      <c r="D930">
        <f>D910+D911+D912+D913+D914+D915+D917+D916+D918+D919+D920+D921+D922+D923+D925+D927</f>
        <v>1227</v>
      </c>
      <c r="E930">
        <f>SUM(E910:E929)</f>
        <v>1349</v>
      </c>
      <c r="I930">
        <f>I910+I911+I912+I913+I914+I915+I916+I917+I918+I919+I920+I921+I922+I923+I924+I925+I926+I927+I928+I929</f>
        <v>2910</v>
      </c>
      <c r="M930" t="s">
        <v>8</v>
      </c>
      <c r="O930">
        <f>O910+O911+O912+O913+O914+O915+O917+O916+O918+O919+O920+O921+O922+O923+O925+O927</f>
        <v>661</v>
      </c>
      <c r="P930">
        <f>SUM(P910:P929)</f>
        <v>576</v>
      </c>
      <c r="T930">
        <f>T910+T911+T912+T913+T914+T915+T916+T917+T918+T919+T920+T921+T922+T923+T924+T925+T926+T927+T928+T929</f>
        <v>1320</v>
      </c>
    </row>
    <row r="933" spans="1:21">
      <c r="B933" t="s">
        <v>38</v>
      </c>
      <c r="C933" t="s">
        <v>259</v>
      </c>
      <c r="M933" t="s">
        <v>38</v>
      </c>
      <c r="N933" t="s">
        <v>260</v>
      </c>
    </row>
    <row r="934" spans="1:21">
      <c r="A934" t="s">
        <v>0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t="s">
        <v>7</v>
      </c>
      <c r="I934" t="s">
        <v>8</v>
      </c>
      <c r="J934" t="s">
        <v>51</v>
      </c>
      <c r="L934" t="s">
        <v>0</v>
      </c>
      <c r="M934" t="s">
        <v>1</v>
      </c>
      <c r="N934" t="s">
        <v>2</v>
      </c>
      <c r="O934" t="s">
        <v>3</v>
      </c>
      <c r="P934" t="s">
        <v>4</v>
      </c>
      <c r="Q934" t="s">
        <v>5</v>
      </c>
      <c r="R934" t="s">
        <v>6</v>
      </c>
      <c r="S934" t="s">
        <v>7</v>
      </c>
      <c r="T934" t="s">
        <v>8</v>
      </c>
      <c r="U934" t="s">
        <v>51</v>
      </c>
    </row>
    <row r="935" spans="1:21">
      <c r="A935">
        <v>1</v>
      </c>
      <c r="B935" t="s">
        <v>9</v>
      </c>
      <c r="C935" s="3">
        <v>45826</v>
      </c>
      <c r="D935">
        <v>16</v>
      </c>
      <c r="E935">
        <v>23</v>
      </c>
      <c r="F935">
        <v>1</v>
      </c>
      <c r="G935">
        <v>2</v>
      </c>
      <c r="H935">
        <v>3</v>
      </c>
      <c r="I935">
        <f>D935+E935+H935</f>
        <v>42</v>
      </c>
      <c r="J935" t="s">
        <v>50</v>
      </c>
      <c r="L935">
        <v>1</v>
      </c>
      <c r="M935" t="s">
        <v>9</v>
      </c>
      <c r="N935" s="3">
        <v>45827</v>
      </c>
      <c r="O935">
        <v>26</v>
      </c>
      <c r="P935">
        <v>31</v>
      </c>
      <c r="Q935">
        <v>6</v>
      </c>
      <c r="R935">
        <v>4</v>
      </c>
      <c r="S935">
        <v>10</v>
      </c>
      <c r="T935">
        <f>O935+P935+S935</f>
        <v>67</v>
      </c>
      <c r="U935" t="s">
        <v>50</v>
      </c>
    </row>
    <row r="936" spans="1:21">
      <c r="A936">
        <v>2</v>
      </c>
      <c r="B936" t="s">
        <v>11</v>
      </c>
      <c r="C936" s="3">
        <v>45826</v>
      </c>
      <c r="D936">
        <v>15</v>
      </c>
      <c r="E936">
        <v>10</v>
      </c>
      <c r="F936">
        <v>4</v>
      </c>
      <c r="G936">
        <v>7</v>
      </c>
      <c r="H936">
        <v>11</v>
      </c>
      <c r="I936">
        <f>D936+E936+H936</f>
        <v>36</v>
      </c>
      <c r="J936" t="s">
        <v>52</v>
      </c>
      <c r="L936">
        <v>2</v>
      </c>
      <c r="M936" t="s">
        <v>11</v>
      </c>
      <c r="N936" s="3">
        <v>45827</v>
      </c>
      <c r="O936">
        <v>17</v>
      </c>
      <c r="P936">
        <v>10</v>
      </c>
      <c r="Q936">
        <v>4</v>
      </c>
      <c r="R936">
        <v>3</v>
      </c>
      <c r="S936">
        <v>7</v>
      </c>
      <c r="T936">
        <f>O936+P936+S936</f>
        <v>34</v>
      </c>
      <c r="U936" t="s">
        <v>52</v>
      </c>
    </row>
    <row r="937" spans="1:21">
      <c r="A937">
        <v>3</v>
      </c>
      <c r="B937" t="s">
        <v>12</v>
      </c>
      <c r="C937" s="3">
        <v>45826</v>
      </c>
      <c r="D937">
        <v>42</v>
      </c>
      <c r="E937">
        <v>30</v>
      </c>
      <c r="H937">
        <v>0</v>
      </c>
      <c r="I937">
        <f>SUM(D937,E937,H937)</f>
        <v>72</v>
      </c>
      <c r="J937" t="s">
        <v>53</v>
      </c>
      <c r="L937">
        <v>3</v>
      </c>
      <c r="M937" t="s">
        <v>12</v>
      </c>
      <c r="N937" s="3">
        <v>45827</v>
      </c>
      <c r="O937">
        <v>47</v>
      </c>
      <c r="P937">
        <v>31</v>
      </c>
      <c r="S937">
        <v>0</v>
      </c>
      <c r="T937">
        <f>SUM(O937,P937,S937)</f>
        <v>78</v>
      </c>
      <c r="U937" t="s">
        <v>53</v>
      </c>
    </row>
    <row r="938" spans="1:21">
      <c r="A938">
        <v>4</v>
      </c>
      <c r="B938" t="s">
        <v>13</v>
      </c>
      <c r="C938" s="3">
        <v>45826</v>
      </c>
      <c r="D938">
        <v>54</v>
      </c>
      <c r="E938">
        <v>15</v>
      </c>
      <c r="H938">
        <v>8</v>
      </c>
      <c r="I938">
        <f t="shared" ref="I938:I952" si="142">D938+E938+H938</f>
        <v>77</v>
      </c>
      <c r="J938" t="s">
        <v>52</v>
      </c>
      <c r="L938">
        <v>4</v>
      </c>
      <c r="M938" t="s">
        <v>13</v>
      </c>
      <c r="N938" s="3">
        <v>45827</v>
      </c>
      <c r="O938">
        <v>10</v>
      </c>
      <c r="P938">
        <v>3</v>
      </c>
      <c r="S938">
        <v>0</v>
      </c>
      <c r="T938">
        <f t="shared" ref="T938:T952" si="143">O938+P938+S938</f>
        <v>13</v>
      </c>
      <c r="U938" t="s">
        <v>52</v>
      </c>
    </row>
    <row r="939" spans="1:21">
      <c r="A939">
        <v>5</v>
      </c>
      <c r="B939" t="s">
        <v>14</v>
      </c>
      <c r="C939" s="3">
        <v>45826</v>
      </c>
      <c r="D939">
        <v>342</v>
      </c>
      <c r="E939">
        <v>549</v>
      </c>
      <c r="H939">
        <v>181</v>
      </c>
      <c r="I939">
        <f t="shared" si="142"/>
        <v>1072</v>
      </c>
      <c r="J939" t="s">
        <v>54</v>
      </c>
      <c r="L939">
        <v>5</v>
      </c>
      <c r="M939" t="s">
        <v>14</v>
      </c>
      <c r="N939" s="3">
        <v>45827</v>
      </c>
      <c r="O939">
        <v>223</v>
      </c>
      <c r="P939">
        <v>468</v>
      </c>
      <c r="S939">
        <v>172</v>
      </c>
      <c r="T939">
        <f t="shared" si="143"/>
        <v>863</v>
      </c>
      <c r="U939" t="s">
        <v>54</v>
      </c>
    </row>
    <row r="940" spans="1:21">
      <c r="A940">
        <v>6</v>
      </c>
      <c r="B940" t="s">
        <v>15</v>
      </c>
      <c r="C940" s="3">
        <v>45826</v>
      </c>
      <c r="D940">
        <v>102</v>
      </c>
      <c r="E940">
        <v>135</v>
      </c>
      <c r="H940">
        <v>0</v>
      </c>
      <c r="I940">
        <f t="shared" si="142"/>
        <v>237</v>
      </c>
      <c r="J940" t="s">
        <v>55</v>
      </c>
      <c r="L940">
        <v>6</v>
      </c>
      <c r="M940" t="s">
        <v>15</v>
      </c>
      <c r="N940" s="3">
        <v>45827</v>
      </c>
      <c r="O940">
        <v>113</v>
      </c>
      <c r="P940">
        <v>153</v>
      </c>
      <c r="S940">
        <v>0</v>
      </c>
      <c r="T940">
        <f t="shared" si="143"/>
        <v>266</v>
      </c>
      <c r="U940" t="s">
        <v>55</v>
      </c>
    </row>
    <row r="941" spans="1:21">
      <c r="A941">
        <v>7</v>
      </c>
      <c r="B941" t="s">
        <v>16</v>
      </c>
      <c r="C941" s="3">
        <v>45826</v>
      </c>
      <c r="I941">
        <f t="shared" si="142"/>
        <v>0</v>
      </c>
      <c r="J941" t="s">
        <v>52</v>
      </c>
      <c r="L941">
        <v>7</v>
      </c>
      <c r="M941" t="s">
        <v>16</v>
      </c>
      <c r="N941" s="3">
        <v>45827</v>
      </c>
      <c r="O941">
        <v>45</v>
      </c>
      <c r="P941">
        <v>31</v>
      </c>
      <c r="S941">
        <v>0</v>
      </c>
      <c r="T941">
        <f t="shared" si="143"/>
        <v>76</v>
      </c>
      <c r="U941" t="s">
        <v>52</v>
      </c>
    </row>
    <row r="942" spans="1:21">
      <c r="A942">
        <v>8</v>
      </c>
      <c r="B942" t="s">
        <v>17</v>
      </c>
      <c r="C942" s="3">
        <v>45826</v>
      </c>
      <c r="I942">
        <f t="shared" si="142"/>
        <v>0</v>
      </c>
      <c r="J942" t="s">
        <v>50</v>
      </c>
      <c r="L942">
        <v>8</v>
      </c>
      <c r="M942" t="s">
        <v>17</v>
      </c>
      <c r="N942" s="3">
        <v>45827</v>
      </c>
      <c r="O942">
        <v>29</v>
      </c>
      <c r="P942">
        <v>19</v>
      </c>
      <c r="Q942">
        <v>1</v>
      </c>
      <c r="R942">
        <v>6</v>
      </c>
      <c r="S942">
        <v>7</v>
      </c>
      <c r="T942">
        <f t="shared" si="143"/>
        <v>55</v>
      </c>
      <c r="U942" t="s">
        <v>50</v>
      </c>
    </row>
    <row r="943" spans="1:21">
      <c r="A943">
        <v>9</v>
      </c>
      <c r="B943" t="s">
        <v>18</v>
      </c>
      <c r="C943" s="3">
        <v>45826</v>
      </c>
      <c r="D943">
        <v>68</v>
      </c>
      <c r="E943">
        <v>16</v>
      </c>
      <c r="H943">
        <v>9</v>
      </c>
      <c r="I943">
        <f t="shared" si="142"/>
        <v>93</v>
      </c>
      <c r="J943" t="s">
        <v>56</v>
      </c>
      <c r="L943">
        <v>9</v>
      </c>
      <c r="M943" t="s">
        <v>18</v>
      </c>
      <c r="N943" s="3">
        <v>45827</v>
      </c>
      <c r="O943">
        <v>20</v>
      </c>
      <c r="P943">
        <v>19</v>
      </c>
      <c r="S943">
        <v>8</v>
      </c>
      <c r="T943">
        <f t="shared" si="143"/>
        <v>47</v>
      </c>
      <c r="U943" t="s">
        <v>56</v>
      </c>
    </row>
    <row r="944" spans="1:21">
      <c r="A944">
        <v>10</v>
      </c>
      <c r="B944" t="s">
        <v>19</v>
      </c>
      <c r="C944" s="3">
        <v>45826</v>
      </c>
      <c r="D944">
        <v>124</v>
      </c>
      <c r="E944">
        <v>93</v>
      </c>
      <c r="H944">
        <v>39</v>
      </c>
      <c r="I944">
        <f t="shared" si="142"/>
        <v>256</v>
      </c>
      <c r="J944" t="s">
        <v>53</v>
      </c>
      <c r="L944">
        <v>10</v>
      </c>
      <c r="M944" t="s">
        <v>19</v>
      </c>
      <c r="N944" s="3">
        <v>45827</v>
      </c>
      <c r="O944">
        <v>122</v>
      </c>
      <c r="P944">
        <v>86</v>
      </c>
      <c r="S944">
        <v>35</v>
      </c>
      <c r="T944">
        <f t="shared" si="143"/>
        <v>243</v>
      </c>
      <c r="U944" t="s">
        <v>53</v>
      </c>
    </row>
    <row r="945" spans="1:22">
      <c r="A945">
        <v>11</v>
      </c>
      <c r="B945" t="s">
        <v>25</v>
      </c>
      <c r="C945" s="3">
        <v>45826</v>
      </c>
      <c r="D945">
        <v>4</v>
      </c>
      <c r="E945">
        <v>1</v>
      </c>
      <c r="F945">
        <v>1</v>
      </c>
      <c r="G945">
        <v>0</v>
      </c>
      <c r="H945">
        <v>1</v>
      </c>
      <c r="I945">
        <f t="shared" si="142"/>
        <v>6</v>
      </c>
      <c r="J945" t="s">
        <v>54</v>
      </c>
      <c r="L945">
        <v>11</v>
      </c>
      <c r="M945" t="s">
        <v>25</v>
      </c>
      <c r="N945" s="3">
        <v>45827</v>
      </c>
      <c r="O945">
        <v>5</v>
      </c>
      <c r="P945">
        <v>1</v>
      </c>
      <c r="S945">
        <v>0</v>
      </c>
      <c r="T945">
        <f t="shared" si="143"/>
        <v>6</v>
      </c>
      <c r="U945" t="s">
        <v>54</v>
      </c>
    </row>
    <row r="946" spans="1:22">
      <c r="A946">
        <v>12</v>
      </c>
      <c r="B946" t="s">
        <v>27</v>
      </c>
      <c r="C946" s="3">
        <v>45826</v>
      </c>
      <c r="D946">
        <v>160</v>
      </c>
      <c r="E946">
        <v>123</v>
      </c>
      <c r="F946">
        <v>27</v>
      </c>
      <c r="G946">
        <v>35</v>
      </c>
      <c r="H946">
        <v>62</v>
      </c>
      <c r="I946">
        <f t="shared" si="142"/>
        <v>345</v>
      </c>
      <c r="J946" t="s">
        <v>56</v>
      </c>
      <c r="L946">
        <v>12</v>
      </c>
      <c r="M946" t="s">
        <v>27</v>
      </c>
      <c r="N946" s="3">
        <v>45827</v>
      </c>
      <c r="O946">
        <v>163</v>
      </c>
      <c r="P946">
        <v>185</v>
      </c>
      <c r="Q946">
        <v>34</v>
      </c>
      <c r="R946">
        <v>24</v>
      </c>
      <c r="S946">
        <v>58</v>
      </c>
      <c r="T946">
        <f t="shared" si="143"/>
        <v>406</v>
      </c>
      <c r="U946" t="s">
        <v>56</v>
      </c>
    </row>
    <row r="947" spans="1:22">
      <c r="A947">
        <v>13</v>
      </c>
      <c r="B947" t="s">
        <v>20</v>
      </c>
      <c r="C947" s="3">
        <v>45826</v>
      </c>
      <c r="D947">
        <v>109</v>
      </c>
      <c r="E947">
        <v>133</v>
      </c>
      <c r="F947">
        <v>11</v>
      </c>
      <c r="G947">
        <v>7</v>
      </c>
      <c r="H947">
        <v>18</v>
      </c>
      <c r="I947">
        <f t="shared" si="142"/>
        <v>260</v>
      </c>
      <c r="J947" t="s">
        <v>57</v>
      </c>
      <c r="L947">
        <v>13</v>
      </c>
      <c r="M947" t="s">
        <v>20</v>
      </c>
      <c r="N947" s="3">
        <v>45827</v>
      </c>
      <c r="T947">
        <f t="shared" si="143"/>
        <v>0</v>
      </c>
      <c r="U947" t="s">
        <v>57</v>
      </c>
    </row>
    <row r="948" spans="1:22">
      <c r="A948">
        <v>14</v>
      </c>
      <c r="B948" t="s">
        <v>32</v>
      </c>
      <c r="C948" s="3">
        <v>45826</v>
      </c>
      <c r="I948">
        <f t="shared" si="142"/>
        <v>0</v>
      </c>
      <c r="J948" t="s">
        <v>50</v>
      </c>
      <c r="L948">
        <v>14</v>
      </c>
      <c r="M948" t="s">
        <v>32</v>
      </c>
      <c r="N948" s="3">
        <v>45827</v>
      </c>
      <c r="O948">
        <v>48</v>
      </c>
      <c r="P948">
        <v>62</v>
      </c>
      <c r="Q948">
        <v>5</v>
      </c>
      <c r="R948">
        <v>3</v>
      </c>
      <c r="S948">
        <v>8</v>
      </c>
      <c r="T948">
        <f t="shared" si="143"/>
        <v>118</v>
      </c>
      <c r="U948" t="s">
        <v>50</v>
      </c>
    </row>
    <row r="949" spans="1:22">
      <c r="A949">
        <v>15</v>
      </c>
      <c r="B949" t="s">
        <v>48</v>
      </c>
      <c r="C949" s="3">
        <v>45826</v>
      </c>
      <c r="I949">
        <f t="shared" si="142"/>
        <v>0</v>
      </c>
      <c r="J949" t="s">
        <v>59</v>
      </c>
      <c r="L949">
        <v>15</v>
      </c>
      <c r="M949" t="s">
        <v>48</v>
      </c>
      <c r="N949" s="3">
        <v>45827</v>
      </c>
      <c r="T949">
        <f t="shared" si="143"/>
        <v>0</v>
      </c>
      <c r="U949" t="s">
        <v>59</v>
      </c>
    </row>
    <row r="950" spans="1:22">
      <c r="A950">
        <v>16</v>
      </c>
      <c r="B950" t="s">
        <v>37</v>
      </c>
      <c r="C950" s="3">
        <v>45826</v>
      </c>
      <c r="D950">
        <v>16</v>
      </c>
      <c r="E950">
        <v>10</v>
      </c>
      <c r="F950">
        <v>0</v>
      </c>
      <c r="G950">
        <v>0</v>
      </c>
      <c r="H950">
        <v>0</v>
      </c>
      <c r="I950">
        <f t="shared" si="142"/>
        <v>26</v>
      </c>
      <c r="J950" t="s">
        <v>55</v>
      </c>
      <c r="L950">
        <v>16</v>
      </c>
      <c r="M950" t="s">
        <v>37</v>
      </c>
      <c r="N950" s="3">
        <v>45827</v>
      </c>
      <c r="O950">
        <v>27</v>
      </c>
      <c r="P950">
        <v>17</v>
      </c>
      <c r="Q950">
        <v>0</v>
      </c>
      <c r="R950">
        <v>0</v>
      </c>
      <c r="S950">
        <v>0</v>
      </c>
      <c r="T950">
        <f t="shared" si="143"/>
        <v>44</v>
      </c>
      <c r="U950" t="s">
        <v>55</v>
      </c>
    </row>
    <row r="951" spans="1:22">
      <c r="A951">
        <v>17</v>
      </c>
      <c r="B951" t="s">
        <v>49</v>
      </c>
      <c r="C951" s="3">
        <v>45826</v>
      </c>
      <c r="I951">
        <f t="shared" si="142"/>
        <v>0</v>
      </c>
      <c r="J951" t="s">
        <v>59</v>
      </c>
      <c r="L951">
        <v>17</v>
      </c>
      <c r="M951" t="s">
        <v>49</v>
      </c>
      <c r="N951" s="3">
        <v>45827</v>
      </c>
      <c r="T951">
        <f t="shared" si="143"/>
        <v>0</v>
      </c>
      <c r="U951" t="s">
        <v>59</v>
      </c>
    </row>
    <row r="952" spans="1:22">
      <c r="A952">
        <v>18</v>
      </c>
      <c r="B952" t="s">
        <v>21</v>
      </c>
      <c r="C952" s="3">
        <v>45826</v>
      </c>
      <c r="I952">
        <f t="shared" si="142"/>
        <v>0</v>
      </c>
      <c r="J952" t="s">
        <v>59</v>
      </c>
      <c r="L952">
        <v>18</v>
      </c>
      <c r="M952" t="s">
        <v>21</v>
      </c>
      <c r="N952" s="3">
        <v>45827</v>
      </c>
      <c r="T952">
        <f t="shared" si="143"/>
        <v>0</v>
      </c>
      <c r="U952" t="s">
        <v>59</v>
      </c>
    </row>
    <row r="953" spans="1:22">
      <c r="A953">
        <v>19</v>
      </c>
      <c r="B953" t="s">
        <v>104</v>
      </c>
      <c r="C953" s="3">
        <v>45826</v>
      </c>
      <c r="I953">
        <f>D953+E953+H953</f>
        <v>0</v>
      </c>
      <c r="L953">
        <v>19</v>
      </c>
      <c r="M953" t="s">
        <v>104</v>
      </c>
      <c r="N953" s="3">
        <v>45827</v>
      </c>
      <c r="T953">
        <f>O953+P953+S953</f>
        <v>0</v>
      </c>
    </row>
    <row r="954" spans="1:22">
      <c r="A954">
        <v>20</v>
      </c>
      <c r="B954" t="s">
        <v>26</v>
      </c>
      <c r="C954" s="3">
        <v>45826</v>
      </c>
      <c r="I954">
        <f t="shared" ref="I954" si="144">D954+E954+H954</f>
        <v>0</v>
      </c>
      <c r="J954" t="s">
        <v>54</v>
      </c>
      <c r="L954">
        <v>20</v>
      </c>
      <c r="M954" t="s">
        <v>26</v>
      </c>
      <c r="N954" s="3">
        <v>45827</v>
      </c>
      <c r="T954">
        <f t="shared" ref="T954" si="145">O954+P954+S954</f>
        <v>0</v>
      </c>
      <c r="U954" t="s">
        <v>54</v>
      </c>
    </row>
    <row r="955" spans="1:22">
      <c r="B955" t="s">
        <v>8</v>
      </c>
      <c r="D955">
        <f>D935+D936+D937+D938+D939+D940+D942+D941+D943+D944+D945+D946+D947+D948+D950+D952</f>
        <v>1052</v>
      </c>
      <c r="E955">
        <f>SUM(E935:E954)</f>
        <v>1138</v>
      </c>
      <c r="I955">
        <f>I935+I936+I937+I938+I939+I940+I941+I942+I943+I944+I945+I946+I947+I948+I949+I950+I951+I952+I953+I954</f>
        <v>2522</v>
      </c>
      <c r="M955" t="s">
        <v>8</v>
      </c>
      <c r="O955">
        <f>O935+O936+O937+O938+O939+O940+O942+O941+O943+O944+O945+O946+O947+O948+O950+O952</f>
        <v>895</v>
      </c>
      <c r="P955">
        <f>SUM(P935:P954)</f>
        <v>1116</v>
      </c>
      <c r="T955">
        <f>T935+T936+T937+T938+T939+T940+T941+T942+T943+T944+T945+T946+T947+T948+T949+T950+T951+T952+T953+T954</f>
        <v>2316</v>
      </c>
    </row>
    <row r="957" spans="1:22">
      <c r="B957" t="s">
        <v>38</v>
      </c>
      <c r="C957" t="s">
        <v>261</v>
      </c>
      <c r="N957" t="s">
        <v>38</v>
      </c>
      <c r="O957" t="s">
        <v>262</v>
      </c>
    </row>
    <row r="958" spans="1:22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t="s">
        <v>7</v>
      </c>
      <c r="I958" t="s">
        <v>8</v>
      </c>
      <c r="J958" t="s">
        <v>51</v>
      </c>
      <c r="M958" t="s">
        <v>0</v>
      </c>
      <c r="N958" t="s">
        <v>1</v>
      </c>
      <c r="O958" t="s">
        <v>2</v>
      </c>
      <c r="P958" t="s">
        <v>3</v>
      </c>
      <c r="Q958" t="s">
        <v>4</v>
      </c>
      <c r="R958" t="s">
        <v>5</v>
      </c>
      <c r="S958" t="s">
        <v>6</v>
      </c>
      <c r="T958" t="s">
        <v>7</v>
      </c>
      <c r="U958" t="s">
        <v>8</v>
      </c>
      <c r="V958" t="s">
        <v>51</v>
      </c>
    </row>
    <row r="959" spans="1:22">
      <c r="A959">
        <v>1</v>
      </c>
      <c r="B959" t="s">
        <v>9</v>
      </c>
      <c r="C959" s="3">
        <v>45828</v>
      </c>
      <c r="D959">
        <v>31</v>
      </c>
      <c r="E959">
        <v>31</v>
      </c>
      <c r="F959">
        <v>3</v>
      </c>
      <c r="G959">
        <v>2</v>
      </c>
      <c r="H959">
        <v>5</v>
      </c>
      <c r="I959">
        <f>D959+E959+H959</f>
        <v>67</v>
      </c>
      <c r="J959" t="s">
        <v>50</v>
      </c>
      <c r="M959">
        <v>1</v>
      </c>
      <c r="N959" t="s">
        <v>9</v>
      </c>
      <c r="O959" s="3">
        <v>45829</v>
      </c>
      <c r="P959">
        <v>26</v>
      </c>
      <c r="Q959">
        <v>25</v>
      </c>
      <c r="R959">
        <v>6</v>
      </c>
      <c r="S959">
        <v>4</v>
      </c>
      <c r="T959">
        <v>10</v>
      </c>
      <c r="U959">
        <f>P959+Q959+T959</f>
        <v>61</v>
      </c>
      <c r="V959" t="s">
        <v>50</v>
      </c>
    </row>
    <row r="960" spans="1:22">
      <c r="A960">
        <v>2</v>
      </c>
      <c r="B960" t="s">
        <v>11</v>
      </c>
      <c r="C960" s="3">
        <v>45828</v>
      </c>
      <c r="D960">
        <v>11</v>
      </c>
      <c r="E960">
        <v>8</v>
      </c>
      <c r="F960">
        <v>4</v>
      </c>
      <c r="G960">
        <v>3</v>
      </c>
      <c r="H960">
        <v>7</v>
      </c>
      <c r="I960">
        <f>D960+E960+H960</f>
        <v>26</v>
      </c>
      <c r="J960" t="s">
        <v>52</v>
      </c>
      <c r="M960">
        <v>2</v>
      </c>
      <c r="N960" t="s">
        <v>11</v>
      </c>
      <c r="O960" s="3">
        <v>45829</v>
      </c>
      <c r="P960">
        <v>14</v>
      </c>
      <c r="Q960">
        <v>4</v>
      </c>
      <c r="R960">
        <v>1</v>
      </c>
      <c r="S960">
        <v>0</v>
      </c>
      <c r="U960">
        <f>P960+Q960+T960</f>
        <v>18</v>
      </c>
      <c r="V960" t="s">
        <v>52</v>
      </c>
    </row>
    <row r="961" spans="1:22">
      <c r="A961">
        <v>3</v>
      </c>
      <c r="B961" t="s">
        <v>12</v>
      </c>
      <c r="C961" s="3">
        <v>45828</v>
      </c>
      <c r="D961">
        <v>66</v>
      </c>
      <c r="E961">
        <v>59</v>
      </c>
      <c r="H961">
        <v>0</v>
      </c>
      <c r="I961">
        <f>SUM(D961,E961,H961)</f>
        <v>125</v>
      </c>
      <c r="J961" t="s">
        <v>53</v>
      </c>
      <c r="M961">
        <v>3</v>
      </c>
      <c r="N961" t="s">
        <v>12</v>
      </c>
      <c r="O961" s="3">
        <v>45829</v>
      </c>
      <c r="P961">
        <v>33</v>
      </c>
      <c r="Q961">
        <v>37</v>
      </c>
      <c r="T961">
        <v>0</v>
      </c>
      <c r="U961">
        <f>SUM(P961,Q961,T961)</f>
        <v>70</v>
      </c>
      <c r="V961" t="s">
        <v>53</v>
      </c>
    </row>
    <row r="962" spans="1:22">
      <c r="A962">
        <v>4</v>
      </c>
      <c r="B962" t="s">
        <v>13</v>
      </c>
      <c r="C962" s="3">
        <v>45828</v>
      </c>
      <c r="D962">
        <v>58</v>
      </c>
      <c r="E962">
        <v>11</v>
      </c>
      <c r="H962">
        <v>11</v>
      </c>
      <c r="I962">
        <f t="shared" ref="I962:I976" si="146">D962+E962+H962</f>
        <v>80</v>
      </c>
      <c r="J962" t="s">
        <v>52</v>
      </c>
      <c r="M962">
        <v>4</v>
      </c>
      <c r="N962" t="s">
        <v>13</v>
      </c>
      <c r="O962" s="3">
        <v>45829</v>
      </c>
      <c r="P962">
        <v>33</v>
      </c>
      <c r="Q962">
        <v>10</v>
      </c>
      <c r="T962">
        <v>2</v>
      </c>
      <c r="U962">
        <f t="shared" ref="U962:U976" si="147">P962+Q962+T962</f>
        <v>45</v>
      </c>
      <c r="V962" t="s">
        <v>52</v>
      </c>
    </row>
    <row r="963" spans="1:22">
      <c r="A963">
        <v>5</v>
      </c>
      <c r="B963" t="s">
        <v>14</v>
      </c>
      <c r="C963" s="3">
        <v>45828</v>
      </c>
      <c r="D963">
        <v>197</v>
      </c>
      <c r="E963">
        <v>440</v>
      </c>
      <c r="H963">
        <v>181</v>
      </c>
      <c r="I963">
        <f t="shared" si="146"/>
        <v>818</v>
      </c>
      <c r="J963" t="s">
        <v>54</v>
      </c>
      <c r="M963">
        <v>5</v>
      </c>
      <c r="N963" t="s">
        <v>14</v>
      </c>
      <c r="O963" s="3">
        <v>45829</v>
      </c>
      <c r="U963">
        <f t="shared" si="147"/>
        <v>0</v>
      </c>
      <c r="V963" t="s">
        <v>54</v>
      </c>
    </row>
    <row r="964" spans="1:22">
      <c r="A964">
        <v>6</v>
      </c>
      <c r="B964" t="s">
        <v>15</v>
      </c>
      <c r="C964" s="3">
        <v>45828</v>
      </c>
      <c r="D964">
        <v>151</v>
      </c>
      <c r="E964">
        <v>101</v>
      </c>
      <c r="H964">
        <v>0</v>
      </c>
      <c r="I964">
        <f t="shared" si="146"/>
        <v>252</v>
      </c>
      <c r="J964" t="s">
        <v>55</v>
      </c>
      <c r="M964">
        <v>6</v>
      </c>
      <c r="N964" t="s">
        <v>15</v>
      </c>
      <c r="O964" s="3">
        <v>45829</v>
      </c>
      <c r="P964">
        <v>111</v>
      </c>
      <c r="Q964">
        <v>68</v>
      </c>
      <c r="T964">
        <v>0</v>
      </c>
      <c r="U964">
        <f t="shared" si="147"/>
        <v>179</v>
      </c>
      <c r="V964" t="s">
        <v>55</v>
      </c>
    </row>
    <row r="965" spans="1:22">
      <c r="A965">
        <v>7</v>
      </c>
      <c r="B965" t="s">
        <v>16</v>
      </c>
      <c r="C965" s="3">
        <v>45828</v>
      </c>
      <c r="I965">
        <f t="shared" si="146"/>
        <v>0</v>
      </c>
      <c r="J965" t="s">
        <v>52</v>
      </c>
      <c r="M965">
        <v>7</v>
      </c>
      <c r="N965" t="s">
        <v>16</v>
      </c>
      <c r="O965" s="3">
        <v>45829</v>
      </c>
      <c r="U965">
        <f t="shared" si="147"/>
        <v>0</v>
      </c>
      <c r="V965" t="s">
        <v>52</v>
      </c>
    </row>
    <row r="966" spans="1:22">
      <c r="A966">
        <v>8</v>
      </c>
      <c r="B966" t="s">
        <v>17</v>
      </c>
      <c r="C966" s="3">
        <v>45828</v>
      </c>
      <c r="D966">
        <v>200</v>
      </c>
      <c r="E966">
        <v>203</v>
      </c>
      <c r="F966">
        <v>16</v>
      </c>
      <c r="G966">
        <v>14</v>
      </c>
      <c r="H966">
        <v>30</v>
      </c>
      <c r="I966">
        <f t="shared" si="146"/>
        <v>433</v>
      </c>
      <c r="J966" t="s">
        <v>50</v>
      </c>
      <c r="M966">
        <v>8</v>
      </c>
      <c r="N966" t="s">
        <v>17</v>
      </c>
      <c r="O966" s="3">
        <v>45829</v>
      </c>
      <c r="P966">
        <v>31</v>
      </c>
      <c r="Q966">
        <v>16</v>
      </c>
      <c r="T966">
        <v>2</v>
      </c>
      <c r="U966">
        <f t="shared" si="147"/>
        <v>49</v>
      </c>
      <c r="V966" t="s">
        <v>50</v>
      </c>
    </row>
    <row r="967" spans="1:22">
      <c r="A967">
        <v>9</v>
      </c>
      <c r="B967" t="s">
        <v>18</v>
      </c>
      <c r="C967" s="3">
        <v>45828</v>
      </c>
      <c r="D967">
        <v>32</v>
      </c>
      <c r="E967">
        <v>9</v>
      </c>
      <c r="H967">
        <v>7</v>
      </c>
      <c r="I967">
        <f t="shared" si="146"/>
        <v>48</v>
      </c>
      <c r="J967" t="s">
        <v>56</v>
      </c>
      <c r="M967">
        <v>9</v>
      </c>
      <c r="N967" t="s">
        <v>18</v>
      </c>
      <c r="O967" s="3">
        <v>45829</v>
      </c>
      <c r="P967">
        <v>42</v>
      </c>
      <c r="Q967">
        <v>12</v>
      </c>
      <c r="T967">
        <v>6</v>
      </c>
      <c r="U967">
        <f t="shared" si="147"/>
        <v>60</v>
      </c>
      <c r="V967" t="s">
        <v>56</v>
      </c>
    </row>
    <row r="968" spans="1:22">
      <c r="A968">
        <v>10</v>
      </c>
      <c r="B968" t="s">
        <v>19</v>
      </c>
      <c r="C968" s="3">
        <v>45828</v>
      </c>
      <c r="D968">
        <v>134</v>
      </c>
      <c r="E968">
        <v>79</v>
      </c>
      <c r="H968">
        <v>35</v>
      </c>
      <c r="I968">
        <f t="shared" si="146"/>
        <v>248</v>
      </c>
      <c r="J968" t="s">
        <v>53</v>
      </c>
      <c r="M968">
        <v>10</v>
      </c>
      <c r="N968" t="s">
        <v>19</v>
      </c>
      <c r="O968" s="3">
        <v>45829</v>
      </c>
      <c r="P968">
        <v>132</v>
      </c>
      <c r="Q968">
        <v>80</v>
      </c>
      <c r="T968">
        <v>31</v>
      </c>
      <c r="U968">
        <f t="shared" si="147"/>
        <v>243</v>
      </c>
      <c r="V968" t="s">
        <v>53</v>
      </c>
    </row>
    <row r="969" spans="1:22">
      <c r="A969">
        <v>11</v>
      </c>
      <c r="B969" t="s">
        <v>25</v>
      </c>
      <c r="C969" s="3">
        <v>45828</v>
      </c>
      <c r="D969">
        <v>11</v>
      </c>
      <c r="E969">
        <v>1</v>
      </c>
      <c r="F969">
        <v>0</v>
      </c>
      <c r="G969">
        <v>3</v>
      </c>
      <c r="H969">
        <v>3</v>
      </c>
      <c r="I969">
        <f t="shared" si="146"/>
        <v>15</v>
      </c>
      <c r="J969" t="s">
        <v>54</v>
      </c>
      <c r="M969">
        <v>11</v>
      </c>
      <c r="N969" t="s">
        <v>25</v>
      </c>
      <c r="O969" s="3">
        <v>45829</v>
      </c>
      <c r="P969">
        <v>4</v>
      </c>
      <c r="Q969">
        <v>2</v>
      </c>
      <c r="R969">
        <v>0</v>
      </c>
      <c r="S969">
        <v>0</v>
      </c>
      <c r="T969">
        <v>0</v>
      </c>
      <c r="U969">
        <f t="shared" si="147"/>
        <v>6</v>
      </c>
      <c r="V969" t="s">
        <v>54</v>
      </c>
    </row>
    <row r="970" spans="1:22">
      <c r="A970">
        <v>12</v>
      </c>
      <c r="B970" t="s">
        <v>27</v>
      </c>
      <c r="C970" s="3">
        <v>45828</v>
      </c>
      <c r="D970">
        <v>191</v>
      </c>
      <c r="E970">
        <v>202</v>
      </c>
      <c r="F970">
        <v>39</v>
      </c>
      <c r="G970">
        <v>40</v>
      </c>
      <c r="H970">
        <v>79</v>
      </c>
      <c r="I970">
        <f t="shared" si="146"/>
        <v>472</v>
      </c>
      <c r="J970" t="s">
        <v>56</v>
      </c>
      <c r="M970">
        <v>12</v>
      </c>
      <c r="N970" t="s">
        <v>27</v>
      </c>
      <c r="O970" s="3">
        <v>45829</v>
      </c>
      <c r="U970">
        <f t="shared" si="147"/>
        <v>0</v>
      </c>
      <c r="V970" t="s">
        <v>56</v>
      </c>
    </row>
    <row r="971" spans="1:22">
      <c r="A971">
        <v>13</v>
      </c>
      <c r="B971" t="s">
        <v>20</v>
      </c>
      <c r="C971" s="3">
        <v>45828</v>
      </c>
      <c r="D971">
        <v>123</v>
      </c>
      <c r="E971">
        <v>101</v>
      </c>
      <c r="F971">
        <v>8</v>
      </c>
      <c r="G971">
        <v>10</v>
      </c>
      <c r="H971">
        <v>18</v>
      </c>
      <c r="I971">
        <f t="shared" si="146"/>
        <v>242</v>
      </c>
      <c r="J971" t="s">
        <v>57</v>
      </c>
      <c r="M971">
        <v>13</v>
      </c>
      <c r="N971" t="s">
        <v>20</v>
      </c>
      <c r="O971" s="3">
        <v>45829</v>
      </c>
      <c r="P971">
        <v>137</v>
      </c>
      <c r="Q971">
        <v>104</v>
      </c>
      <c r="R971">
        <v>9</v>
      </c>
      <c r="S971">
        <v>11</v>
      </c>
      <c r="T971">
        <v>20</v>
      </c>
      <c r="U971">
        <f t="shared" si="147"/>
        <v>261</v>
      </c>
      <c r="V971" t="s">
        <v>57</v>
      </c>
    </row>
    <row r="972" spans="1:22">
      <c r="A972">
        <v>14</v>
      </c>
      <c r="B972" t="s">
        <v>32</v>
      </c>
      <c r="C972" s="3">
        <v>45828</v>
      </c>
      <c r="I972">
        <f t="shared" si="146"/>
        <v>0</v>
      </c>
      <c r="J972" t="s">
        <v>50</v>
      </c>
      <c r="M972">
        <v>14</v>
      </c>
      <c r="N972" t="s">
        <v>32</v>
      </c>
      <c r="O972" s="3">
        <v>45829</v>
      </c>
      <c r="P972">
        <v>40</v>
      </c>
      <c r="Q972">
        <v>34</v>
      </c>
      <c r="R972">
        <v>1</v>
      </c>
      <c r="S972">
        <v>2</v>
      </c>
      <c r="T972">
        <v>3</v>
      </c>
      <c r="U972">
        <f t="shared" si="147"/>
        <v>77</v>
      </c>
      <c r="V972" t="s">
        <v>50</v>
      </c>
    </row>
    <row r="973" spans="1:22">
      <c r="A973">
        <v>15</v>
      </c>
      <c r="B973" t="s">
        <v>48</v>
      </c>
      <c r="C973" s="3">
        <v>45828</v>
      </c>
      <c r="I973">
        <f t="shared" si="146"/>
        <v>0</v>
      </c>
      <c r="J973" t="s">
        <v>59</v>
      </c>
      <c r="M973">
        <v>15</v>
      </c>
      <c r="N973" t="s">
        <v>48</v>
      </c>
      <c r="O973" s="3">
        <v>45829</v>
      </c>
      <c r="U973">
        <f t="shared" si="147"/>
        <v>0</v>
      </c>
      <c r="V973" t="s">
        <v>59</v>
      </c>
    </row>
    <row r="974" spans="1:22">
      <c r="A974">
        <v>16</v>
      </c>
      <c r="B974" t="s">
        <v>37</v>
      </c>
      <c r="C974" s="3">
        <v>45828</v>
      </c>
      <c r="D974">
        <v>21</v>
      </c>
      <c r="E974">
        <v>21</v>
      </c>
      <c r="F974">
        <v>1</v>
      </c>
      <c r="G974">
        <v>2</v>
      </c>
      <c r="H974">
        <v>3</v>
      </c>
      <c r="I974">
        <f t="shared" si="146"/>
        <v>45</v>
      </c>
      <c r="J974" t="s">
        <v>55</v>
      </c>
      <c r="M974">
        <v>16</v>
      </c>
      <c r="N974" t="s">
        <v>37</v>
      </c>
      <c r="O974" s="3">
        <v>45829</v>
      </c>
      <c r="P974">
        <v>10</v>
      </c>
      <c r="Q974">
        <v>15</v>
      </c>
      <c r="R974">
        <v>0</v>
      </c>
      <c r="S974">
        <v>0</v>
      </c>
      <c r="T974">
        <v>0</v>
      </c>
      <c r="U974">
        <f t="shared" si="147"/>
        <v>25</v>
      </c>
      <c r="V974" t="s">
        <v>55</v>
      </c>
    </row>
    <row r="975" spans="1:22">
      <c r="A975">
        <v>17</v>
      </c>
      <c r="B975" t="s">
        <v>49</v>
      </c>
      <c r="C975" s="3">
        <v>45828</v>
      </c>
      <c r="I975">
        <f t="shared" si="146"/>
        <v>0</v>
      </c>
      <c r="J975" t="s">
        <v>59</v>
      </c>
      <c r="M975">
        <v>17</v>
      </c>
      <c r="N975" t="s">
        <v>49</v>
      </c>
      <c r="O975" s="3">
        <v>45829</v>
      </c>
      <c r="U975">
        <f t="shared" si="147"/>
        <v>0</v>
      </c>
      <c r="V975" t="s">
        <v>59</v>
      </c>
    </row>
    <row r="976" spans="1:22">
      <c r="A976">
        <v>18</v>
      </c>
      <c r="B976" t="s">
        <v>21</v>
      </c>
      <c r="C976" s="3">
        <v>45828</v>
      </c>
      <c r="I976">
        <f t="shared" si="146"/>
        <v>0</v>
      </c>
      <c r="J976" t="s">
        <v>59</v>
      </c>
      <c r="M976">
        <v>18</v>
      </c>
      <c r="N976" t="s">
        <v>21</v>
      </c>
      <c r="O976" s="3">
        <v>45829</v>
      </c>
      <c r="P976">
        <v>85</v>
      </c>
      <c r="Q976">
        <v>94</v>
      </c>
      <c r="T976">
        <v>21</v>
      </c>
      <c r="U976">
        <f t="shared" si="147"/>
        <v>200</v>
      </c>
      <c r="V976" t="s">
        <v>59</v>
      </c>
    </row>
    <row r="977" spans="1:22">
      <c r="A977">
        <v>19</v>
      </c>
      <c r="B977" t="s">
        <v>104</v>
      </c>
      <c r="C977" s="3">
        <v>45828</v>
      </c>
      <c r="I977">
        <f>D977+E977+H977</f>
        <v>0</v>
      </c>
      <c r="M977">
        <v>19</v>
      </c>
      <c r="N977" t="s">
        <v>104</v>
      </c>
      <c r="O977" s="3">
        <v>45829</v>
      </c>
      <c r="U977">
        <f>P977+Q977+T977</f>
        <v>0</v>
      </c>
    </row>
    <row r="978" spans="1:22">
      <c r="A978">
        <v>20</v>
      </c>
      <c r="B978" t="s">
        <v>26</v>
      </c>
      <c r="C978" s="3">
        <v>45828</v>
      </c>
      <c r="I978">
        <f t="shared" ref="I978" si="148">D978+E978+H978</f>
        <v>0</v>
      </c>
      <c r="J978" t="s">
        <v>54</v>
      </c>
      <c r="M978">
        <v>20</v>
      </c>
      <c r="N978" t="s">
        <v>26</v>
      </c>
      <c r="O978" s="3">
        <v>45829</v>
      </c>
      <c r="U978">
        <f t="shared" ref="U978" si="149">P978+Q978+T978</f>
        <v>0</v>
      </c>
      <c r="V978" t="s">
        <v>54</v>
      </c>
    </row>
    <row r="979" spans="1:22">
      <c r="B979" t="s">
        <v>8</v>
      </c>
      <c r="D979">
        <f>D959+D960+D961+D962+D963+D964+D966+D965+D967+D968+D969+D970+D971+D972+D974+D976</f>
        <v>1226</v>
      </c>
      <c r="E979">
        <f>SUM(E959:E978)</f>
        <v>1266</v>
      </c>
      <c r="I979">
        <f>I959+I960+I961+I962+I963+I964+I965+I966+I967+I968+I969+I970+I971+I972+I973+I974+I975+I976+I977+I978</f>
        <v>2871</v>
      </c>
      <c r="N979" t="s">
        <v>8</v>
      </c>
      <c r="P979">
        <f>P959+P960+P961+P962+P963+P964+P966+P965+P967+P968+P969+P970+P971+P972+P974+P976</f>
        <v>698</v>
      </c>
      <c r="Q979">
        <f>SUM(Q959:Q978)</f>
        <v>501</v>
      </c>
      <c r="U979">
        <f>U959+U960+U961+U962+U963+U964+U965+U966+U967+U968+U969+U970+U971+U972+U973+U974+U975+U976+U977+U978</f>
        <v>1294</v>
      </c>
    </row>
    <row r="981" spans="1:22">
      <c r="B981" t="s">
        <v>38</v>
      </c>
      <c r="C981" t="s">
        <v>263</v>
      </c>
      <c r="N981" t="s">
        <v>38</v>
      </c>
      <c r="O981" t="s">
        <v>264</v>
      </c>
    </row>
    <row r="982" spans="1:22">
      <c r="A982" t="s">
        <v>0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t="s">
        <v>7</v>
      </c>
      <c r="I982" t="s">
        <v>8</v>
      </c>
      <c r="J982" t="s">
        <v>51</v>
      </c>
      <c r="M982" t="s">
        <v>0</v>
      </c>
      <c r="N982" t="s">
        <v>1</v>
      </c>
      <c r="O982" t="s">
        <v>2</v>
      </c>
      <c r="P982" t="s">
        <v>3</v>
      </c>
      <c r="Q982" t="s">
        <v>4</v>
      </c>
      <c r="R982" t="s">
        <v>5</v>
      </c>
      <c r="S982" t="s">
        <v>6</v>
      </c>
      <c r="T982" t="s">
        <v>7</v>
      </c>
      <c r="U982" t="s">
        <v>8</v>
      </c>
      <c r="V982" t="s">
        <v>51</v>
      </c>
    </row>
    <row r="983" spans="1:22">
      <c r="A983">
        <v>1</v>
      </c>
      <c r="B983" t="s">
        <v>9</v>
      </c>
      <c r="C983" s="3">
        <v>45830</v>
      </c>
      <c r="D983">
        <v>20</v>
      </c>
      <c r="E983">
        <v>18</v>
      </c>
      <c r="F983">
        <v>2</v>
      </c>
      <c r="G983">
        <v>1</v>
      </c>
      <c r="H983">
        <v>3</v>
      </c>
      <c r="I983">
        <f>D983+E983+H983</f>
        <v>41</v>
      </c>
      <c r="J983" t="s">
        <v>50</v>
      </c>
      <c r="M983">
        <v>1</v>
      </c>
      <c r="N983" t="s">
        <v>9</v>
      </c>
      <c r="O983" s="3">
        <v>45831</v>
      </c>
      <c r="P983">
        <v>27</v>
      </c>
      <c r="Q983">
        <v>20</v>
      </c>
      <c r="R983">
        <v>5</v>
      </c>
      <c r="S983">
        <v>6</v>
      </c>
      <c r="T983">
        <v>11</v>
      </c>
      <c r="U983">
        <f>P983+Q983+T983</f>
        <v>58</v>
      </c>
      <c r="V983" t="s">
        <v>50</v>
      </c>
    </row>
    <row r="984" spans="1:22">
      <c r="A984">
        <v>2</v>
      </c>
      <c r="B984" t="s">
        <v>11</v>
      </c>
      <c r="C984" s="3">
        <v>45830</v>
      </c>
      <c r="D984">
        <v>14</v>
      </c>
      <c r="E984">
        <v>3</v>
      </c>
      <c r="F984">
        <v>0</v>
      </c>
      <c r="G984">
        <v>0</v>
      </c>
      <c r="H984">
        <v>0</v>
      </c>
      <c r="I984">
        <f>D984+E984+H984</f>
        <v>17</v>
      </c>
      <c r="J984" t="s">
        <v>52</v>
      </c>
      <c r="M984">
        <v>2</v>
      </c>
      <c r="N984" t="s">
        <v>11</v>
      </c>
      <c r="O984" s="3">
        <v>45831</v>
      </c>
      <c r="P984">
        <v>15</v>
      </c>
      <c r="Q984">
        <v>5</v>
      </c>
      <c r="R984">
        <v>0</v>
      </c>
      <c r="S984">
        <v>0</v>
      </c>
      <c r="T984">
        <v>0</v>
      </c>
      <c r="U984">
        <f>P984+Q984+T984</f>
        <v>20</v>
      </c>
      <c r="V984" t="s">
        <v>52</v>
      </c>
    </row>
    <row r="985" spans="1:22">
      <c r="A985">
        <v>3</v>
      </c>
      <c r="B985" t="s">
        <v>12</v>
      </c>
      <c r="C985" s="3">
        <v>45830</v>
      </c>
      <c r="D985">
        <v>45</v>
      </c>
      <c r="E985">
        <v>31</v>
      </c>
      <c r="H985">
        <v>0</v>
      </c>
      <c r="I985">
        <f>SUM(D985,E985,H985)</f>
        <v>76</v>
      </c>
      <c r="J985" t="s">
        <v>53</v>
      </c>
      <c r="M985">
        <v>3</v>
      </c>
      <c r="N985" t="s">
        <v>12</v>
      </c>
      <c r="O985" s="3">
        <v>45831</v>
      </c>
      <c r="P985">
        <v>50</v>
      </c>
      <c r="Q985">
        <v>31</v>
      </c>
      <c r="T985">
        <v>0</v>
      </c>
      <c r="U985">
        <f>SUM(P985,Q985,T985)</f>
        <v>81</v>
      </c>
      <c r="V985" t="s">
        <v>53</v>
      </c>
    </row>
    <row r="986" spans="1:22">
      <c r="A986">
        <v>4</v>
      </c>
      <c r="B986" t="s">
        <v>13</v>
      </c>
      <c r="C986" s="3">
        <v>45830</v>
      </c>
      <c r="D986">
        <v>11</v>
      </c>
      <c r="E986">
        <v>6</v>
      </c>
      <c r="F986">
        <v>0</v>
      </c>
      <c r="G986">
        <v>0</v>
      </c>
      <c r="H986">
        <v>0</v>
      </c>
      <c r="I986">
        <f t="shared" ref="I986:I1000" si="150">D986+E986+H986</f>
        <v>17</v>
      </c>
      <c r="J986" t="s">
        <v>52</v>
      </c>
      <c r="M986">
        <v>4</v>
      </c>
      <c r="N986" t="s">
        <v>13</v>
      </c>
      <c r="O986" s="3">
        <v>45831</v>
      </c>
      <c r="P986">
        <v>21</v>
      </c>
      <c r="Q986">
        <v>10</v>
      </c>
      <c r="T986">
        <v>1</v>
      </c>
      <c r="U986">
        <f t="shared" ref="U986:U1000" si="151">P986+Q986+T986</f>
        <v>32</v>
      </c>
      <c r="V986" t="s">
        <v>52</v>
      </c>
    </row>
    <row r="987" spans="1:22">
      <c r="A987">
        <v>5</v>
      </c>
      <c r="B987" t="s">
        <v>14</v>
      </c>
      <c r="C987" s="3">
        <v>45830</v>
      </c>
      <c r="D987">
        <v>33</v>
      </c>
      <c r="E987">
        <v>54</v>
      </c>
      <c r="H987">
        <v>21</v>
      </c>
      <c r="I987">
        <f t="shared" si="150"/>
        <v>108</v>
      </c>
      <c r="J987" t="s">
        <v>54</v>
      </c>
      <c r="M987">
        <v>5</v>
      </c>
      <c r="N987" t="s">
        <v>14</v>
      </c>
      <c r="O987" s="3">
        <v>45831</v>
      </c>
      <c r="P987">
        <v>474</v>
      </c>
      <c r="Q987">
        <v>846</v>
      </c>
      <c r="T987">
        <v>326</v>
      </c>
      <c r="U987">
        <f t="shared" si="151"/>
        <v>1646</v>
      </c>
      <c r="V987" t="s">
        <v>54</v>
      </c>
    </row>
    <row r="988" spans="1:22">
      <c r="A988">
        <v>6</v>
      </c>
      <c r="B988" t="s">
        <v>15</v>
      </c>
      <c r="C988" s="3">
        <v>45830</v>
      </c>
      <c r="D988">
        <v>132</v>
      </c>
      <c r="E988">
        <v>91</v>
      </c>
      <c r="H988">
        <v>0</v>
      </c>
      <c r="I988">
        <f t="shared" si="150"/>
        <v>223</v>
      </c>
      <c r="J988" t="s">
        <v>55</v>
      </c>
      <c r="M988">
        <v>6</v>
      </c>
      <c r="N988" t="s">
        <v>15</v>
      </c>
      <c r="O988" s="3">
        <v>45831</v>
      </c>
      <c r="P988">
        <v>133</v>
      </c>
      <c r="Q988">
        <v>86</v>
      </c>
      <c r="T988">
        <v>0</v>
      </c>
      <c r="U988">
        <f t="shared" si="151"/>
        <v>219</v>
      </c>
      <c r="V988" t="s">
        <v>55</v>
      </c>
    </row>
    <row r="989" spans="1:22">
      <c r="A989">
        <v>7</v>
      </c>
      <c r="B989" t="s">
        <v>16</v>
      </c>
      <c r="C989" s="3">
        <v>45830</v>
      </c>
      <c r="I989">
        <f t="shared" si="150"/>
        <v>0</v>
      </c>
      <c r="J989" t="s">
        <v>52</v>
      </c>
      <c r="M989">
        <v>7</v>
      </c>
      <c r="N989" t="s">
        <v>16</v>
      </c>
      <c r="O989" s="3">
        <v>45831</v>
      </c>
      <c r="U989">
        <f t="shared" si="151"/>
        <v>0</v>
      </c>
      <c r="V989" t="s">
        <v>52</v>
      </c>
    </row>
    <row r="990" spans="1:22">
      <c r="A990">
        <v>8</v>
      </c>
      <c r="B990" t="s">
        <v>17</v>
      </c>
      <c r="C990" s="3">
        <v>45830</v>
      </c>
      <c r="D990">
        <v>138</v>
      </c>
      <c r="E990">
        <v>152</v>
      </c>
      <c r="F990">
        <v>8</v>
      </c>
      <c r="G990">
        <v>19</v>
      </c>
      <c r="H990">
        <v>27</v>
      </c>
      <c r="I990">
        <f t="shared" si="150"/>
        <v>317</v>
      </c>
      <c r="J990" t="s">
        <v>50</v>
      </c>
      <c r="M990">
        <v>8</v>
      </c>
      <c r="N990" t="s">
        <v>17</v>
      </c>
      <c r="O990" s="3">
        <v>45831</v>
      </c>
      <c r="P990">
        <v>20</v>
      </c>
      <c r="Q990">
        <v>15</v>
      </c>
      <c r="T990">
        <v>4</v>
      </c>
      <c r="U990">
        <f t="shared" si="151"/>
        <v>39</v>
      </c>
      <c r="V990" t="s">
        <v>50</v>
      </c>
    </row>
    <row r="991" spans="1:22">
      <c r="A991">
        <v>9</v>
      </c>
      <c r="B991" t="s">
        <v>18</v>
      </c>
      <c r="C991" s="3">
        <v>45830</v>
      </c>
      <c r="D991">
        <v>30</v>
      </c>
      <c r="E991">
        <v>7</v>
      </c>
      <c r="H991">
        <v>4</v>
      </c>
      <c r="I991">
        <f t="shared" si="150"/>
        <v>41</v>
      </c>
      <c r="J991" t="s">
        <v>56</v>
      </c>
      <c r="M991">
        <v>9</v>
      </c>
      <c r="N991" t="s">
        <v>18</v>
      </c>
      <c r="O991" s="3">
        <v>45831</v>
      </c>
      <c r="P991">
        <v>12</v>
      </c>
      <c r="Q991">
        <v>1</v>
      </c>
      <c r="T991">
        <v>0</v>
      </c>
      <c r="U991">
        <f t="shared" si="151"/>
        <v>13</v>
      </c>
      <c r="V991" t="s">
        <v>56</v>
      </c>
    </row>
    <row r="992" spans="1:22">
      <c r="A992">
        <v>10</v>
      </c>
      <c r="B992" t="s">
        <v>19</v>
      </c>
      <c r="C992" s="3">
        <v>45830</v>
      </c>
      <c r="D992">
        <v>74</v>
      </c>
      <c r="E992">
        <v>54</v>
      </c>
      <c r="H992">
        <v>23</v>
      </c>
      <c r="I992">
        <f t="shared" si="150"/>
        <v>151</v>
      </c>
      <c r="J992" t="s">
        <v>53</v>
      </c>
      <c r="M992">
        <v>10</v>
      </c>
      <c r="N992" t="s">
        <v>19</v>
      </c>
      <c r="O992" s="3">
        <v>45831</v>
      </c>
      <c r="P992">
        <v>146</v>
      </c>
      <c r="Q992">
        <v>96</v>
      </c>
      <c r="T992">
        <v>37</v>
      </c>
      <c r="U992">
        <f t="shared" si="151"/>
        <v>279</v>
      </c>
      <c r="V992" t="s">
        <v>53</v>
      </c>
    </row>
    <row r="993" spans="1:22">
      <c r="A993">
        <v>11</v>
      </c>
      <c r="B993" t="s">
        <v>25</v>
      </c>
      <c r="C993" s="3">
        <v>45830</v>
      </c>
      <c r="D993">
        <v>8</v>
      </c>
      <c r="E993">
        <v>0</v>
      </c>
      <c r="F993">
        <v>0</v>
      </c>
      <c r="G993">
        <v>0</v>
      </c>
      <c r="H993">
        <v>0</v>
      </c>
      <c r="I993">
        <f t="shared" si="150"/>
        <v>8</v>
      </c>
      <c r="J993" t="s">
        <v>54</v>
      </c>
      <c r="M993">
        <v>11</v>
      </c>
      <c r="N993" t="s">
        <v>25</v>
      </c>
      <c r="O993" s="3">
        <v>45831</v>
      </c>
      <c r="P993">
        <v>6</v>
      </c>
      <c r="Q993">
        <v>5</v>
      </c>
      <c r="R993">
        <v>1</v>
      </c>
      <c r="S993">
        <v>2</v>
      </c>
      <c r="T993">
        <v>3</v>
      </c>
      <c r="U993">
        <f t="shared" si="151"/>
        <v>14</v>
      </c>
      <c r="V993" t="s">
        <v>54</v>
      </c>
    </row>
    <row r="994" spans="1:22">
      <c r="A994">
        <v>12</v>
      </c>
      <c r="B994" t="s">
        <v>27</v>
      </c>
      <c r="C994" s="3">
        <v>45830</v>
      </c>
      <c r="I994">
        <f t="shared" si="150"/>
        <v>0</v>
      </c>
      <c r="J994" t="s">
        <v>56</v>
      </c>
      <c r="M994">
        <v>12</v>
      </c>
      <c r="N994" t="s">
        <v>27</v>
      </c>
      <c r="O994" s="3">
        <v>45831</v>
      </c>
      <c r="P994">
        <v>196</v>
      </c>
      <c r="Q994">
        <v>218</v>
      </c>
      <c r="R994">
        <v>27</v>
      </c>
      <c r="S994">
        <v>45</v>
      </c>
      <c r="T994">
        <v>72</v>
      </c>
      <c r="U994">
        <f t="shared" si="151"/>
        <v>486</v>
      </c>
      <c r="V994" t="s">
        <v>56</v>
      </c>
    </row>
    <row r="995" spans="1:22">
      <c r="A995">
        <v>13</v>
      </c>
      <c r="B995" t="s">
        <v>20</v>
      </c>
      <c r="C995" s="3">
        <v>45830</v>
      </c>
      <c r="I995">
        <f t="shared" si="150"/>
        <v>0</v>
      </c>
      <c r="J995" t="s">
        <v>57</v>
      </c>
      <c r="M995">
        <v>13</v>
      </c>
      <c r="N995" t="s">
        <v>20</v>
      </c>
      <c r="O995" s="3">
        <v>45831</v>
      </c>
      <c r="U995">
        <f t="shared" si="151"/>
        <v>0</v>
      </c>
      <c r="V995" t="s">
        <v>57</v>
      </c>
    </row>
    <row r="996" spans="1:22">
      <c r="A996">
        <v>14</v>
      </c>
      <c r="B996" t="s">
        <v>32</v>
      </c>
      <c r="C996" s="3">
        <v>45830</v>
      </c>
      <c r="D996">
        <v>20</v>
      </c>
      <c r="E996">
        <v>7</v>
      </c>
      <c r="F996">
        <v>1</v>
      </c>
      <c r="G996">
        <v>2</v>
      </c>
      <c r="H996">
        <v>3</v>
      </c>
      <c r="I996">
        <f t="shared" si="150"/>
        <v>30</v>
      </c>
      <c r="J996" t="s">
        <v>50</v>
      </c>
      <c r="M996">
        <v>14</v>
      </c>
      <c r="N996" t="s">
        <v>32</v>
      </c>
      <c r="O996" s="3">
        <v>45831</v>
      </c>
      <c r="P996">
        <v>49</v>
      </c>
      <c r="Q996">
        <v>68</v>
      </c>
      <c r="R996">
        <v>5</v>
      </c>
      <c r="S996">
        <v>2</v>
      </c>
      <c r="T996">
        <v>7</v>
      </c>
      <c r="U996">
        <f t="shared" si="151"/>
        <v>124</v>
      </c>
      <c r="V996" t="s">
        <v>50</v>
      </c>
    </row>
    <row r="997" spans="1:22">
      <c r="A997">
        <v>15</v>
      </c>
      <c r="B997" t="s">
        <v>48</v>
      </c>
      <c r="C997" s="3">
        <v>45830</v>
      </c>
      <c r="I997">
        <f t="shared" si="150"/>
        <v>0</v>
      </c>
      <c r="J997" t="s">
        <v>59</v>
      </c>
      <c r="M997">
        <v>15</v>
      </c>
      <c r="N997" t="s">
        <v>48</v>
      </c>
      <c r="O997" s="3">
        <v>45831</v>
      </c>
      <c r="U997">
        <f t="shared" si="151"/>
        <v>0</v>
      </c>
      <c r="V997" t="s">
        <v>59</v>
      </c>
    </row>
    <row r="998" spans="1:22">
      <c r="A998">
        <v>16</v>
      </c>
      <c r="B998" t="s">
        <v>37</v>
      </c>
      <c r="C998" s="3">
        <v>45830</v>
      </c>
      <c r="D998">
        <v>28</v>
      </c>
      <c r="E998">
        <v>13</v>
      </c>
      <c r="F998">
        <v>2</v>
      </c>
      <c r="G998">
        <v>2</v>
      </c>
      <c r="H998">
        <v>4</v>
      </c>
      <c r="I998">
        <f t="shared" si="150"/>
        <v>45</v>
      </c>
      <c r="J998" t="s">
        <v>55</v>
      </c>
      <c r="M998">
        <v>16</v>
      </c>
      <c r="N998" t="s">
        <v>37</v>
      </c>
      <c r="O998" s="3">
        <v>45831</v>
      </c>
      <c r="U998">
        <f t="shared" si="151"/>
        <v>0</v>
      </c>
      <c r="V998" t="s">
        <v>55</v>
      </c>
    </row>
    <row r="999" spans="1:22">
      <c r="A999">
        <v>17</v>
      </c>
      <c r="B999" t="s">
        <v>49</v>
      </c>
      <c r="C999" s="3">
        <v>45830</v>
      </c>
      <c r="I999">
        <f t="shared" si="150"/>
        <v>0</v>
      </c>
      <c r="J999" t="s">
        <v>59</v>
      </c>
      <c r="M999">
        <v>17</v>
      </c>
      <c r="N999" t="s">
        <v>49</v>
      </c>
      <c r="O999" s="3">
        <v>45831</v>
      </c>
      <c r="U999">
        <f t="shared" si="151"/>
        <v>0</v>
      </c>
      <c r="V999" t="s">
        <v>59</v>
      </c>
    </row>
    <row r="1000" spans="1:22">
      <c r="A1000">
        <v>18</v>
      </c>
      <c r="B1000" t="s">
        <v>21</v>
      </c>
      <c r="C1000" s="3">
        <v>45830</v>
      </c>
      <c r="I1000">
        <f t="shared" si="150"/>
        <v>0</v>
      </c>
      <c r="J1000" t="s">
        <v>59</v>
      </c>
      <c r="M1000">
        <v>18</v>
      </c>
      <c r="N1000" t="s">
        <v>21</v>
      </c>
      <c r="O1000" s="3">
        <v>45831</v>
      </c>
      <c r="U1000">
        <f t="shared" si="151"/>
        <v>0</v>
      </c>
      <c r="V1000" t="s">
        <v>59</v>
      </c>
    </row>
    <row r="1001" spans="1:22">
      <c r="A1001">
        <v>19</v>
      </c>
      <c r="B1001" t="s">
        <v>104</v>
      </c>
      <c r="C1001" s="3">
        <v>45830</v>
      </c>
      <c r="I1001">
        <f>D1001+E1001+H1001</f>
        <v>0</v>
      </c>
      <c r="M1001">
        <v>19</v>
      </c>
      <c r="N1001" t="s">
        <v>104</v>
      </c>
      <c r="O1001" s="3">
        <v>45831</v>
      </c>
      <c r="U1001">
        <f>P1001+Q1001+T1001</f>
        <v>0</v>
      </c>
    </row>
    <row r="1002" spans="1:22">
      <c r="A1002">
        <v>20</v>
      </c>
      <c r="B1002" t="s">
        <v>26</v>
      </c>
      <c r="C1002" s="3">
        <v>45830</v>
      </c>
      <c r="I1002">
        <f t="shared" ref="I1002" si="152">D1002+E1002+H1002</f>
        <v>0</v>
      </c>
      <c r="J1002" t="s">
        <v>54</v>
      </c>
      <c r="M1002">
        <v>20</v>
      </c>
      <c r="N1002" t="s">
        <v>26</v>
      </c>
      <c r="O1002" s="3">
        <v>45831</v>
      </c>
      <c r="U1002">
        <f t="shared" ref="U1002" si="153">P1002+Q1002+T1002</f>
        <v>0</v>
      </c>
      <c r="V1002" t="s">
        <v>54</v>
      </c>
    </row>
    <row r="1003" spans="1:22">
      <c r="B1003" t="s">
        <v>8</v>
      </c>
      <c r="D1003">
        <f>D983+D984+D985+D986+D987+D988+D990+D989+D991+D992+D993+D994+D995+D996+D998+D1000</f>
        <v>553</v>
      </c>
      <c r="E1003">
        <f>SUM(E983:E1002)</f>
        <v>436</v>
      </c>
      <c r="I1003">
        <f>I983+I984+I985+I986+I987+I988+I989+I990+I991+I992+I993+I994+I995+I996+I997+I998+I999+I1000+I1001+I1002</f>
        <v>1074</v>
      </c>
      <c r="N1003" t="s">
        <v>8</v>
      </c>
      <c r="P1003">
        <f>P983+P984+P985+P986+P987+P988+P990+P989+P991+P992+P993+P994+P995+P996+P998+P1000</f>
        <v>1149</v>
      </c>
      <c r="Q1003">
        <f>SUM(Q983:Q1002)</f>
        <v>1401</v>
      </c>
      <c r="U1003">
        <f>U983+U984+U985+U986+U987+U988+U989+U990+U991+U992+U993+U994+U995+U996+U997+U998+U999+U1000+U1001+U1002</f>
        <v>3011</v>
      </c>
    </row>
    <row r="1006" spans="1:22">
      <c r="B1006" t="s">
        <v>38</v>
      </c>
      <c r="C1006" t="s">
        <v>265</v>
      </c>
      <c r="N1006" t="s">
        <v>38</v>
      </c>
      <c r="O1006" t="s">
        <v>266</v>
      </c>
    </row>
    <row r="1007" spans="1:22">
      <c r="A1007" t="s">
        <v>0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51</v>
      </c>
      <c r="M1007" t="s">
        <v>0</v>
      </c>
      <c r="N1007" t="s">
        <v>1</v>
      </c>
      <c r="O1007" t="s">
        <v>2</v>
      </c>
      <c r="P1007" t="s">
        <v>3</v>
      </c>
      <c r="Q1007" t="s">
        <v>4</v>
      </c>
      <c r="R1007" t="s">
        <v>5</v>
      </c>
      <c r="S1007" t="s">
        <v>6</v>
      </c>
      <c r="T1007" t="s">
        <v>7</v>
      </c>
      <c r="U1007" t="s">
        <v>8</v>
      </c>
      <c r="V1007" t="s">
        <v>51</v>
      </c>
    </row>
    <row r="1008" spans="1:22">
      <c r="A1008">
        <v>1</v>
      </c>
      <c r="B1008" t="s">
        <v>9</v>
      </c>
      <c r="C1008" s="3">
        <v>45832</v>
      </c>
      <c r="D1008">
        <v>27</v>
      </c>
      <c r="E1008">
        <v>25</v>
      </c>
      <c r="F1008">
        <v>4</v>
      </c>
      <c r="G1008">
        <v>4</v>
      </c>
      <c r="H1008">
        <v>8</v>
      </c>
      <c r="I1008">
        <f>D1008+E1008+H1008</f>
        <v>60</v>
      </c>
      <c r="J1008" t="s">
        <v>50</v>
      </c>
      <c r="M1008">
        <v>1</v>
      </c>
      <c r="N1008" t="s">
        <v>9</v>
      </c>
      <c r="O1008" s="3">
        <v>45833</v>
      </c>
      <c r="P1008">
        <v>27</v>
      </c>
      <c r="Q1008">
        <v>16</v>
      </c>
      <c r="R1008">
        <v>4</v>
      </c>
      <c r="S1008">
        <v>1</v>
      </c>
      <c r="T1008">
        <v>5</v>
      </c>
      <c r="U1008">
        <f>P1008+Q1008+T1008</f>
        <v>48</v>
      </c>
      <c r="V1008" t="s">
        <v>50</v>
      </c>
    </row>
    <row r="1009" spans="1:22">
      <c r="A1009">
        <v>2</v>
      </c>
      <c r="B1009" t="s">
        <v>11</v>
      </c>
      <c r="C1009" s="3">
        <v>45832</v>
      </c>
      <c r="D1009">
        <v>18</v>
      </c>
      <c r="E1009">
        <v>5</v>
      </c>
      <c r="F1009">
        <v>0</v>
      </c>
      <c r="G1009">
        <v>0</v>
      </c>
      <c r="H1009">
        <v>0</v>
      </c>
      <c r="I1009">
        <f>D1009+E1009+H1009</f>
        <v>23</v>
      </c>
      <c r="J1009" t="s">
        <v>52</v>
      </c>
      <c r="M1009">
        <v>2</v>
      </c>
      <c r="N1009" t="s">
        <v>11</v>
      </c>
      <c r="O1009" s="3">
        <v>45833</v>
      </c>
      <c r="P1009">
        <v>12</v>
      </c>
      <c r="Q1009">
        <v>3</v>
      </c>
      <c r="R1009">
        <v>0</v>
      </c>
      <c r="S1009">
        <v>0</v>
      </c>
      <c r="T1009">
        <v>0</v>
      </c>
      <c r="U1009">
        <f>P1009+Q1009+T1009</f>
        <v>15</v>
      </c>
      <c r="V1009" t="s">
        <v>52</v>
      </c>
    </row>
    <row r="1010" spans="1:22">
      <c r="A1010">
        <v>3</v>
      </c>
      <c r="B1010" t="s">
        <v>12</v>
      </c>
      <c r="C1010" s="3">
        <v>45832</v>
      </c>
      <c r="D1010">
        <v>36</v>
      </c>
      <c r="E1010">
        <v>33</v>
      </c>
      <c r="H1010">
        <v>0</v>
      </c>
      <c r="I1010">
        <f>SUM(D1010,E1010,H1010)</f>
        <v>69</v>
      </c>
      <c r="J1010" t="s">
        <v>53</v>
      </c>
      <c r="M1010">
        <v>3</v>
      </c>
      <c r="N1010" t="s">
        <v>12</v>
      </c>
      <c r="O1010" s="3">
        <v>45833</v>
      </c>
      <c r="P1010">
        <v>43</v>
      </c>
      <c r="Q1010">
        <v>33</v>
      </c>
      <c r="T1010">
        <v>0</v>
      </c>
      <c r="U1010">
        <f>SUM(P1010,Q1010,T1010)</f>
        <v>76</v>
      </c>
      <c r="V1010" t="s">
        <v>53</v>
      </c>
    </row>
    <row r="1011" spans="1:22">
      <c r="A1011">
        <v>4</v>
      </c>
      <c r="B1011" t="s">
        <v>13</v>
      </c>
      <c r="C1011" s="3">
        <v>45832</v>
      </c>
      <c r="D1011">
        <v>32</v>
      </c>
      <c r="E1011">
        <v>18</v>
      </c>
      <c r="F1011">
        <v>0</v>
      </c>
      <c r="G1011">
        <v>0</v>
      </c>
      <c r="H1011">
        <v>0</v>
      </c>
      <c r="I1011">
        <f t="shared" ref="I1011:I1025" si="154">D1011+E1011+H1011</f>
        <v>50</v>
      </c>
      <c r="J1011" t="s">
        <v>52</v>
      </c>
      <c r="M1011">
        <v>4</v>
      </c>
      <c r="N1011" t="s">
        <v>13</v>
      </c>
      <c r="O1011" s="3">
        <v>45833</v>
      </c>
      <c r="P1011">
        <v>39</v>
      </c>
      <c r="Q1011">
        <v>8</v>
      </c>
      <c r="R1011">
        <v>0</v>
      </c>
      <c r="S1011">
        <v>0</v>
      </c>
      <c r="T1011">
        <v>0</v>
      </c>
      <c r="U1011">
        <f t="shared" ref="U1011:U1025" si="155">P1011+Q1011+T1011</f>
        <v>47</v>
      </c>
      <c r="V1011" t="s">
        <v>52</v>
      </c>
    </row>
    <row r="1012" spans="1:22">
      <c r="A1012">
        <v>5</v>
      </c>
      <c r="B1012" t="s">
        <v>14</v>
      </c>
      <c r="C1012" s="3">
        <v>45832</v>
      </c>
      <c r="D1012">
        <v>365</v>
      </c>
      <c r="E1012">
        <v>549</v>
      </c>
      <c r="H1012">
        <v>229</v>
      </c>
      <c r="I1012">
        <f t="shared" si="154"/>
        <v>1143</v>
      </c>
      <c r="J1012" t="s">
        <v>54</v>
      </c>
      <c r="M1012">
        <v>5</v>
      </c>
      <c r="N1012" t="s">
        <v>14</v>
      </c>
      <c r="O1012" s="3">
        <v>45833</v>
      </c>
      <c r="P1012">
        <v>217</v>
      </c>
      <c r="Q1012">
        <v>426</v>
      </c>
      <c r="T1012">
        <v>132</v>
      </c>
      <c r="U1012">
        <f t="shared" si="155"/>
        <v>775</v>
      </c>
      <c r="V1012" t="s">
        <v>54</v>
      </c>
    </row>
    <row r="1013" spans="1:22">
      <c r="A1013">
        <v>6</v>
      </c>
      <c r="B1013" t="s">
        <v>15</v>
      </c>
      <c r="C1013" s="3">
        <v>45832</v>
      </c>
      <c r="D1013">
        <v>84</v>
      </c>
      <c r="E1013">
        <v>64</v>
      </c>
      <c r="H1013">
        <v>0</v>
      </c>
      <c r="I1013">
        <f t="shared" si="154"/>
        <v>148</v>
      </c>
      <c r="J1013" t="s">
        <v>55</v>
      </c>
      <c r="M1013">
        <v>6</v>
      </c>
      <c r="N1013" t="s">
        <v>15</v>
      </c>
      <c r="O1013" s="3">
        <v>45833</v>
      </c>
      <c r="P1013">
        <v>72</v>
      </c>
      <c r="Q1013">
        <v>38</v>
      </c>
      <c r="T1013">
        <v>0</v>
      </c>
      <c r="U1013">
        <f t="shared" si="155"/>
        <v>110</v>
      </c>
      <c r="V1013" t="s">
        <v>55</v>
      </c>
    </row>
    <row r="1014" spans="1:22">
      <c r="A1014">
        <v>7</v>
      </c>
      <c r="B1014" t="s">
        <v>16</v>
      </c>
      <c r="C1014" s="3">
        <v>45832</v>
      </c>
      <c r="D1014">
        <v>60</v>
      </c>
      <c r="E1014">
        <v>57</v>
      </c>
      <c r="H1014">
        <v>0</v>
      </c>
      <c r="I1014">
        <f t="shared" si="154"/>
        <v>117</v>
      </c>
      <c r="J1014" t="s">
        <v>52</v>
      </c>
      <c r="M1014">
        <v>7</v>
      </c>
      <c r="N1014" t="s">
        <v>16</v>
      </c>
      <c r="O1014" s="3">
        <v>45833</v>
      </c>
      <c r="U1014">
        <f t="shared" si="155"/>
        <v>0</v>
      </c>
      <c r="V1014" t="s">
        <v>52</v>
      </c>
    </row>
    <row r="1015" spans="1:22">
      <c r="A1015">
        <v>8</v>
      </c>
      <c r="B1015" t="s">
        <v>17</v>
      </c>
      <c r="C1015" s="3">
        <v>45832</v>
      </c>
      <c r="D1015">
        <v>30</v>
      </c>
      <c r="E1015">
        <v>38</v>
      </c>
      <c r="H1015">
        <v>3</v>
      </c>
      <c r="I1015">
        <f t="shared" si="154"/>
        <v>71</v>
      </c>
      <c r="J1015" t="s">
        <v>50</v>
      </c>
      <c r="M1015">
        <v>8</v>
      </c>
      <c r="N1015" t="s">
        <v>17</v>
      </c>
      <c r="O1015" s="3">
        <v>45833</v>
      </c>
      <c r="U1015">
        <f t="shared" si="155"/>
        <v>0</v>
      </c>
      <c r="V1015" t="s">
        <v>50</v>
      </c>
    </row>
    <row r="1016" spans="1:22">
      <c r="A1016">
        <v>9</v>
      </c>
      <c r="B1016" t="s">
        <v>18</v>
      </c>
      <c r="C1016" s="3">
        <v>45832</v>
      </c>
      <c r="D1016">
        <v>40</v>
      </c>
      <c r="E1016">
        <v>17</v>
      </c>
      <c r="H1016">
        <v>9</v>
      </c>
      <c r="I1016">
        <f t="shared" si="154"/>
        <v>66</v>
      </c>
      <c r="J1016" t="s">
        <v>56</v>
      </c>
      <c r="M1016">
        <v>9</v>
      </c>
      <c r="N1016" t="s">
        <v>18</v>
      </c>
      <c r="O1016" s="3">
        <v>45833</v>
      </c>
      <c r="P1016">
        <v>40</v>
      </c>
      <c r="Q1016">
        <v>14</v>
      </c>
      <c r="T1016">
        <v>12</v>
      </c>
      <c r="U1016">
        <f t="shared" si="155"/>
        <v>66</v>
      </c>
      <c r="V1016" t="s">
        <v>56</v>
      </c>
    </row>
    <row r="1017" spans="1:22">
      <c r="A1017">
        <v>10</v>
      </c>
      <c r="B1017" t="s">
        <v>19</v>
      </c>
      <c r="C1017" s="3">
        <v>45832</v>
      </c>
      <c r="D1017">
        <v>127</v>
      </c>
      <c r="E1017">
        <v>75</v>
      </c>
      <c r="H1017">
        <v>25</v>
      </c>
      <c r="I1017">
        <f t="shared" si="154"/>
        <v>227</v>
      </c>
      <c r="J1017" t="s">
        <v>53</v>
      </c>
      <c r="M1017">
        <v>10</v>
      </c>
      <c r="N1017" t="s">
        <v>19</v>
      </c>
      <c r="O1017" s="3">
        <v>45833</v>
      </c>
      <c r="P1017">
        <v>102</v>
      </c>
      <c r="Q1017">
        <v>54</v>
      </c>
      <c r="T1017">
        <v>14</v>
      </c>
      <c r="U1017">
        <f t="shared" si="155"/>
        <v>170</v>
      </c>
      <c r="V1017" t="s">
        <v>53</v>
      </c>
    </row>
    <row r="1018" spans="1:22">
      <c r="A1018">
        <v>11</v>
      </c>
      <c r="B1018" t="s">
        <v>25</v>
      </c>
      <c r="C1018" s="3">
        <v>45832</v>
      </c>
      <c r="D1018">
        <v>9</v>
      </c>
      <c r="E1018">
        <v>0</v>
      </c>
      <c r="F1018">
        <v>0</v>
      </c>
      <c r="G1018">
        <v>0</v>
      </c>
      <c r="H1018">
        <v>0</v>
      </c>
      <c r="I1018">
        <f t="shared" si="154"/>
        <v>9</v>
      </c>
      <c r="J1018" t="s">
        <v>54</v>
      </c>
      <c r="M1018">
        <v>11</v>
      </c>
      <c r="N1018" t="s">
        <v>25</v>
      </c>
      <c r="O1018" s="3">
        <v>45833</v>
      </c>
      <c r="P1018">
        <v>7</v>
      </c>
      <c r="Q1018">
        <v>1</v>
      </c>
      <c r="R1018">
        <v>0</v>
      </c>
      <c r="S1018">
        <v>0</v>
      </c>
      <c r="T1018">
        <v>0</v>
      </c>
      <c r="U1018">
        <f t="shared" si="155"/>
        <v>8</v>
      </c>
      <c r="V1018" t="s">
        <v>54</v>
      </c>
    </row>
    <row r="1019" spans="1:22">
      <c r="A1019">
        <v>12</v>
      </c>
      <c r="B1019" t="s">
        <v>27</v>
      </c>
      <c r="C1019" s="3">
        <v>45832</v>
      </c>
      <c r="I1019">
        <f t="shared" si="154"/>
        <v>0</v>
      </c>
      <c r="J1019" t="s">
        <v>56</v>
      </c>
      <c r="M1019">
        <v>12</v>
      </c>
      <c r="N1019" t="s">
        <v>27</v>
      </c>
      <c r="O1019" s="3">
        <v>45833</v>
      </c>
      <c r="U1019">
        <f t="shared" si="155"/>
        <v>0</v>
      </c>
      <c r="V1019" t="s">
        <v>56</v>
      </c>
    </row>
    <row r="1020" spans="1:22">
      <c r="A1020">
        <v>13</v>
      </c>
      <c r="B1020" t="s">
        <v>20</v>
      </c>
      <c r="C1020" s="3">
        <v>45832</v>
      </c>
      <c r="D1020">
        <v>132</v>
      </c>
      <c r="E1020">
        <v>120</v>
      </c>
      <c r="F1020">
        <v>13</v>
      </c>
      <c r="G1020">
        <v>11</v>
      </c>
      <c r="H1020">
        <v>24</v>
      </c>
      <c r="I1020">
        <f t="shared" si="154"/>
        <v>276</v>
      </c>
      <c r="J1020" t="s">
        <v>57</v>
      </c>
      <c r="M1020">
        <v>13</v>
      </c>
      <c r="N1020" t="s">
        <v>20</v>
      </c>
      <c r="O1020" s="3">
        <v>45833</v>
      </c>
      <c r="P1020">
        <v>110</v>
      </c>
      <c r="Q1020">
        <v>111</v>
      </c>
      <c r="R1020">
        <v>8</v>
      </c>
      <c r="S1020">
        <v>7</v>
      </c>
      <c r="T1020">
        <v>15</v>
      </c>
      <c r="U1020">
        <f t="shared" si="155"/>
        <v>236</v>
      </c>
      <c r="V1020" t="s">
        <v>57</v>
      </c>
    </row>
    <row r="1021" spans="1:22">
      <c r="A1021">
        <v>14</v>
      </c>
      <c r="B1021" t="s">
        <v>32</v>
      </c>
      <c r="C1021" s="3">
        <v>45832</v>
      </c>
      <c r="D1021">
        <v>27</v>
      </c>
      <c r="E1021">
        <v>24</v>
      </c>
      <c r="F1021">
        <v>2</v>
      </c>
      <c r="G1021">
        <v>6</v>
      </c>
      <c r="H1021">
        <v>8</v>
      </c>
      <c r="I1021">
        <f t="shared" si="154"/>
        <v>59</v>
      </c>
      <c r="J1021" t="s">
        <v>50</v>
      </c>
      <c r="M1021">
        <v>14</v>
      </c>
      <c r="N1021" t="s">
        <v>32</v>
      </c>
      <c r="O1021" s="3">
        <v>45833</v>
      </c>
      <c r="P1021">
        <v>37</v>
      </c>
      <c r="Q1021">
        <v>33</v>
      </c>
      <c r="R1021">
        <v>0</v>
      </c>
      <c r="S1021">
        <v>2</v>
      </c>
      <c r="T1021">
        <v>2</v>
      </c>
      <c r="U1021">
        <f t="shared" si="155"/>
        <v>72</v>
      </c>
      <c r="V1021" t="s">
        <v>50</v>
      </c>
    </row>
    <row r="1022" spans="1:22">
      <c r="A1022">
        <v>15</v>
      </c>
      <c r="B1022" t="s">
        <v>48</v>
      </c>
      <c r="C1022" s="3">
        <v>45832</v>
      </c>
      <c r="I1022">
        <f t="shared" si="154"/>
        <v>0</v>
      </c>
      <c r="J1022" t="s">
        <v>59</v>
      </c>
      <c r="M1022">
        <v>15</v>
      </c>
      <c r="N1022" t="s">
        <v>48</v>
      </c>
      <c r="O1022" s="3">
        <v>45833</v>
      </c>
      <c r="U1022">
        <f t="shared" si="155"/>
        <v>0</v>
      </c>
      <c r="V1022" t="s">
        <v>59</v>
      </c>
    </row>
    <row r="1023" spans="1:22">
      <c r="A1023">
        <v>16</v>
      </c>
      <c r="B1023" t="s">
        <v>37</v>
      </c>
      <c r="C1023" s="3">
        <v>45832</v>
      </c>
      <c r="I1023">
        <f t="shared" si="154"/>
        <v>0</v>
      </c>
      <c r="J1023" t="s">
        <v>55</v>
      </c>
      <c r="M1023">
        <v>16</v>
      </c>
      <c r="N1023" t="s">
        <v>37</v>
      </c>
      <c r="O1023" s="3">
        <v>45833</v>
      </c>
      <c r="U1023">
        <f t="shared" si="155"/>
        <v>0</v>
      </c>
      <c r="V1023" t="s">
        <v>55</v>
      </c>
    </row>
    <row r="1024" spans="1:22">
      <c r="A1024">
        <v>17</v>
      </c>
      <c r="B1024" t="s">
        <v>49</v>
      </c>
      <c r="C1024" s="3">
        <v>45832</v>
      </c>
      <c r="I1024">
        <f t="shared" si="154"/>
        <v>0</v>
      </c>
      <c r="J1024" t="s">
        <v>59</v>
      </c>
      <c r="M1024">
        <v>17</v>
      </c>
      <c r="N1024" t="s">
        <v>49</v>
      </c>
      <c r="O1024" s="3">
        <v>45833</v>
      </c>
      <c r="U1024">
        <f t="shared" si="155"/>
        <v>0</v>
      </c>
      <c r="V1024" t="s">
        <v>59</v>
      </c>
    </row>
    <row r="1025" spans="1:22">
      <c r="A1025">
        <v>18</v>
      </c>
      <c r="B1025" t="s">
        <v>21</v>
      </c>
      <c r="C1025" s="3">
        <v>45832</v>
      </c>
      <c r="I1025">
        <f t="shared" si="154"/>
        <v>0</v>
      </c>
      <c r="J1025" t="s">
        <v>59</v>
      </c>
      <c r="M1025">
        <v>18</v>
      </c>
      <c r="N1025" t="s">
        <v>21</v>
      </c>
      <c r="O1025" s="3">
        <v>45833</v>
      </c>
      <c r="P1025">
        <v>93</v>
      </c>
      <c r="Q1025">
        <v>103</v>
      </c>
      <c r="T1025">
        <v>23</v>
      </c>
      <c r="U1025">
        <f t="shared" si="155"/>
        <v>219</v>
      </c>
      <c r="V1025" t="s">
        <v>59</v>
      </c>
    </row>
    <row r="1026" spans="1:22">
      <c r="A1026">
        <v>19</v>
      </c>
      <c r="B1026" t="s">
        <v>104</v>
      </c>
      <c r="C1026" s="3">
        <v>45832</v>
      </c>
      <c r="I1026">
        <f>D1026+E1026+H1026</f>
        <v>0</v>
      </c>
      <c r="M1026">
        <v>19</v>
      </c>
      <c r="N1026" t="s">
        <v>104</v>
      </c>
      <c r="O1026" s="3">
        <v>45833</v>
      </c>
      <c r="U1026">
        <f>P1026+Q1026+T1026</f>
        <v>0</v>
      </c>
    </row>
    <row r="1027" spans="1:22">
      <c r="A1027">
        <v>20</v>
      </c>
      <c r="B1027" t="s">
        <v>26</v>
      </c>
      <c r="C1027" s="3">
        <v>45832</v>
      </c>
      <c r="I1027">
        <f t="shared" ref="I1027" si="156">D1027+E1027+H1027</f>
        <v>0</v>
      </c>
      <c r="J1027" t="s">
        <v>54</v>
      </c>
      <c r="M1027">
        <v>20</v>
      </c>
      <c r="N1027" t="s">
        <v>26</v>
      </c>
      <c r="O1027" s="3">
        <v>45833</v>
      </c>
      <c r="U1027">
        <f t="shared" ref="U1027" si="157">P1027+Q1027+T1027</f>
        <v>0</v>
      </c>
      <c r="V1027" t="s">
        <v>54</v>
      </c>
    </row>
    <row r="1028" spans="1:22">
      <c r="B1028" t="s">
        <v>8</v>
      </c>
      <c r="D1028">
        <f>D1008+D1009+D1010+D1011+D1012+D1013+D1015+D1014+D1016+D1017+D1018+D1019+D1020+D1021+D1023+D1025</f>
        <v>987</v>
      </c>
      <c r="E1028">
        <f>SUM(E1008:E1027)</f>
        <v>1025</v>
      </c>
      <c r="I1028">
        <f>I1008+I1009+I1010+I1011+I1012+I1013+I1014+I1015+I1016+I1017+I1018+I1019+I1020+I1021+I1022+I1023+I1024+I1025+I1026+I1027</f>
        <v>2318</v>
      </c>
      <c r="N1028" t="s">
        <v>8</v>
      </c>
      <c r="P1028">
        <f>P1008+P1009+P1010+P1011+P1012+P1013+P1015+P1014+P1016+P1017+P1018+P1019+P1020+P1021+P1023+P1025</f>
        <v>799</v>
      </c>
      <c r="Q1028">
        <f>SUM(Q1008:Q1027)</f>
        <v>840</v>
      </c>
      <c r="U1028">
        <f>U1008+U1009+U1010+U1011+U1012+U1013+U1014+U1015+U1016+U1017+U1018+U1019+U1020+U1021+U1022+U1023+U1024+U1025+U1026+U1027</f>
        <v>1842</v>
      </c>
    </row>
    <row r="1030" spans="1:22">
      <c r="B1030" t="s">
        <v>38</v>
      </c>
      <c r="C1030" t="s">
        <v>267</v>
      </c>
      <c r="N1030" t="s">
        <v>38</v>
      </c>
      <c r="O1030" t="s">
        <v>268</v>
      </c>
    </row>
    <row r="1031" spans="1:22">
      <c r="A1031" t="s">
        <v>0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t="s">
        <v>7</v>
      </c>
      <c r="I1031" t="s">
        <v>8</v>
      </c>
      <c r="J1031" t="s">
        <v>51</v>
      </c>
      <c r="M1031" t="s">
        <v>0</v>
      </c>
      <c r="N1031" t="s">
        <v>1</v>
      </c>
      <c r="O1031" t="s">
        <v>2</v>
      </c>
      <c r="P1031" t="s">
        <v>3</v>
      </c>
      <c r="Q1031" t="s">
        <v>4</v>
      </c>
      <c r="R1031" t="s">
        <v>5</v>
      </c>
      <c r="S1031" t="s">
        <v>6</v>
      </c>
      <c r="T1031" t="s">
        <v>7</v>
      </c>
      <c r="U1031" t="s">
        <v>8</v>
      </c>
      <c r="V1031" t="s">
        <v>51</v>
      </c>
    </row>
    <row r="1032" spans="1:22">
      <c r="A1032">
        <v>1</v>
      </c>
      <c r="B1032" t="s">
        <v>9</v>
      </c>
      <c r="C1032" s="3">
        <v>45834</v>
      </c>
      <c r="D1032">
        <v>19</v>
      </c>
      <c r="E1032">
        <v>18</v>
      </c>
      <c r="F1032">
        <v>3</v>
      </c>
      <c r="G1032">
        <v>3</v>
      </c>
      <c r="H1032">
        <v>6</v>
      </c>
      <c r="I1032">
        <f>D1032+E1032+H1032</f>
        <v>43</v>
      </c>
      <c r="J1032" t="s">
        <v>50</v>
      </c>
      <c r="M1032">
        <v>1</v>
      </c>
      <c r="N1032" t="s">
        <v>9</v>
      </c>
      <c r="O1032" s="3">
        <v>45835</v>
      </c>
      <c r="U1032">
        <f>P1032+Q1032+T1032</f>
        <v>0</v>
      </c>
      <c r="V1032" t="s">
        <v>50</v>
      </c>
    </row>
    <row r="1033" spans="1:22">
      <c r="A1033">
        <v>2</v>
      </c>
      <c r="B1033" t="s">
        <v>11</v>
      </c>
      <c r="C1033" s="3">
        <v>45834</v>
      </c>
      <c r="D1033">
        <v>19</v>
      </c>
      <c r="E1033">
        <v>3</v>
      </c>
      <c r="F1033">
        <v>0</v>
      </c>
      <c r="G1033">
        <v>0</v>
      </c>
      <c r="H1033">
        <v>0</v>
      </c>
      <c r="I1033">
        <f>D1033+E1033+H1033</f>
        <v>22</v>
      </c>
      <c r="J1033" t="s">
        <v>52</v>
      </c>
      <c r="M1033">
        <v>2</v>
      </c>
      <c r="N1033" t="s">
        <v>11</v>
      </c>
      <c r="O1033" s="3">
        <v>45835</v>
      </c>
      <c r="P1033">
        <v>15</v>
      </c>
      <c r="Q1033">
        <v>6</v>
      </c>
      <c r="R1033">
        <v>0</v>
      </c>
      <c r="S1033">
        <v>0</v>
      </c>
      <c r="T1033">
        <v>0</v>
      </c>
      <c r="U1033">
        <f>P1033+Q1033+T1033</f>
        <v>21</v>
      </c>
      <c r="V1033" t="s">
        <v>52</v>
      </c>
    </row>
    <row r="1034" spans="1:22">
      <c r="A1034">
        <v>3</v>
      </c>
      <c r="B1034" t="s">
        <v>12</v>
      </c>
      <c r="C1034" s="3">
        <v>45834</v>
      </c>
      <c r="D1034">
        <v>42</v>
      </c>
      <c r="E1034">
        <v>30</v>
      </c>
      <c r="H1034">
        <v>0</v>
      </c>
      <c r="I1034">
        <f>SUM(D1034,E1034,H1034)</f>
        <v>72</v>
      </c>
      <c r="J1034" t="s">
        <v>53</v>
      </c>
      <c r="M1034">
        <v>3</v>
      </c>
      <c r="N1034" t="s">
        <v>12</v>
      </c>
      <c r="O1034" s="3">
        <v>45835</v>
      </c>
      <c r="P1034">
        <v>42</v>
      </c>
      <c r="Q1034">
        <v>41</v>
      </c>
      <c r="T1034">
        <v>0</v>
      </c>
      <c r="U1034">
        <f>SUM(P1034,Q1034,T1034)</f>
        <v>83</v>
      </c>
      <c r="V1034" t="s">
        <v>53</v>
      </c>
    </row>
    <row r="1035" spans="1:22">
      <c r="A1035">
        <v>4</v>
      </c>
      <c r="B1035" t="s">
        <v>13</v>
      </c>
      <c r="C1035" s="3">
        <v>45834</v>
      </c>
      <c r="D1035">
        <v>31</v>
      </c>
      <c r="E1035">
        <v>15</v>
      </c>
      <c r="H1035">
        <v>2</v>
      </c>
      <c r="I1035">
        <f t="shared" ref="I1035:I1049" si="158">D1035+E1035+H1035</f>
        <v>48</v>
      </c>
      <c r="J1035" t="s">
        <v>52</v>
      </c>
      <c r="M1035">
        <v>4</v>
      </c>
      <c r="N1035" t="s">
        <v>13</v>
      </c>
      <c r="O1035" s="3">
        <v>45835</v>
      </c>
      <c r="P1035">
        <v>22</v>
      </c>
      <c r="Q1035">
        <v>10</v>
      </c>
      <c r="R1035">
        <v>0</v>
      </c>
      <c r="S1035">
        <v>0</v>
      </c>
      <c r="T1035">
        <v>0</v>
      </c>
      <c r="U1035">
        <f t="shared" ref="U1035:U1049" si="159">P1035+Q1035+T1035</f>
        <v>32</v>
      </c>
      <c r="V1035" t="s">
        <v>52</v>
      </c>
    </row>
    <row r="1036" spans="1:22">
      <c r="A1036">
        <v>5</v>
      </c>
      <c r="B1036" t="s">
        <v>14</v>
      </c>
      <c r="C1036" s="3">
        <v>45834</v>
      </c>
      <c r="D1036">
        <v>334</v>
      </c>
      <c r="E1036">
        <v>614</v>
      </c>
      <c r="H1036">
        <v>257</v>
      </c>
      <c r="I1036">
        <f t="shared" si="158"/>
        <v>1205</v>
      </c>
      <c r="J1036" t="s">
        <v>54</v>
      </c>
      <c r="M1036">
        <v>5</v>
      </c>
      <c r="N1036" t="s">
        <v>14</v>
      </c>
      <c r="O1036" s="3">
        <v>45835</v>
      </c>
      <c r="P1036">
        <v>228</v>
      </c>
      <c r="Q1036">
        <v>456</v>
      </c>
      <c r="T1036">
        <v>200</v>
      </c>
      <c r="U1036">
        <f t="shared" si="159"/>
        <v>884</v>
      </c>
      <c r="V1036" t="s">
        <v>54</v>
      </c>
    </row>
    <row r="1037" spans="1:22">
      <c r="A1037">
        <v>6</v>
      </c>
      <c r="B1037" t="s">
        <v>15</v>
      </c>
      <c r="C1037" s="3">
        <v>45834</v>
      </c>
      <c r="D1037">
        <v>52</v>
      </c>
      <c r="E1037">
        <v>37</v>
      </c>
      <c r="H1037">
        <v>0</v>
      </c>
      <c r="I1037">
        <f t="shared" si="158"/>
        <v>89</v>
      </c>
      <c r="J1037" t="s">
        <v>55</v>
      </c>
      <c r="M1037">
        <v>6</v>
      </c>
      <c r="N1037" t="s">
        <v>15</v>
      </c>
      <c r="O1037" s="3">
        <v>45835</v>
      </c>
      <c r="P1037">
        <v>92</v>
      </c>
      <c r="Q1037">
        <v>56</v>
      </c>
      <c r="T1037">
        <v>0</v>
      </c>
      <c r="U1037">
        <f t="shared" si="159"/>
        <v>148</v>
      </c>
      <c r="V1037" t="s">
        <v>55</v>
      </c>
    </row>
    <row r="1038" spans="1:22">
      <c r="A1038">
        <v>7</v>
      </c>
      <c r="B1038" t="s">
        <v>16</v>
      </c>
      <c r="C1038" s="3">
        <v>45834</v>
      </c>
      <c r="I1038">
        <f t="shared" si="158"/>
        <v>0</v>
      </c>
      <c r="J1038" t="s">
        <v>52</v>
      </c>
      <c r="M1038">
        <v>7</v>
      </c>
      <c r="N1038" t="s">
        <v>16</v>
      </c>
      <c r="O1038" s="3">
        <v>45835</v>
      </c>
      <c r="P1038">
        <v>70</v>
      </c>
      <c r="Q1038">
        <v>50</v>
      </c>
      <c r="T1038">
        <v>0</v>
      </c>
      <c r="U1038">
        <f t="shared" si="159"/>
        <v>120</v>
      </c>
      <c r="V1038" t="s">
        <v>52</v>
      </c>
    </row>
    <row r="1039" spans="1:22">
      <c r="A1039">
        <v>8</v>
      </c>
      <c r="B1039" t="s">
        <v>17</v>
      </c>
      <c r="C1039" s="3">
        <v>45834</v>
      </c>
      <c r="D1039">
        <v>32</v>
      </c>
      <c r="E1039">
        <v>16</v>
      </c>
      <c r="H1039">
        <v>1</v>
      </c>
      <c r="I1039">
        <f t="shared" si="158"/>
        <v>49</v>
      </c>
      <c r="J1039" t="s">
        <v>50</v>
      </c>
      <c r="M1039">
        <v>8</v>
      </c>
      <c r="N1039" t="s">
        <v>17</v>
      </c>
      <c r="O1039" s="3">
        <v>45835</v>
      </c>
      <c r="P1039">
        <v>29</v>
      </c>
      <c r="Q1039">
        <v>17</v>
      </c>
      <c r="T1039">
        <v>1</v>
      </c>
      <c r="U1039">
        <f t="shared" si="159"/>
        <v>47</v>
      </c>
      <c r="V1039" t="s">
        <v>50</v>
      </c>
    </row>
    <row r="1040" spans="1:22">
      <c r="A1040">
        <v>9</v>
      </c>
      <c r="B1040" t="s">
        <v>18</v>
      </c>
      <c r="C1040" s="3">
        <v>45834</v>
      </c>
      <c r="D1040">
        <v>57</v>
      </c>
      <c r="E1040">
        <v>13</v>
      </c>
      <c r="H1040">
        <v>4</v>
      </c>
      <c r="I1040">
        <f t="shared" si="158"/>
        <v>74</v>
      </c>
      <c r="J1040" t="s">
        <v>56</v>
      </c>
      <c r="M1040">
        <v>9</v>
      </c>
      <c r="N1040" t="s">
        <v>18</v>
      </c>
      <c r="O1040" s="3">
        <v>45835</v>
      </c>
      <c r="P1040">
        <v>45</v>
      </c>
      <c r="Q1040">
        <v>23</v>
      </c>
      <c r="T1040">
        <v>8</v>
      </c>
      <c r="U1040">
        <f t="shared" si="159"/>
        <v>76</v>
      </c>
      <c r="V1040" t="s">
        <v>56</v>
      </c>
    </row>
    <row r="1041" spans="1:22">
      <c r="A1041">
        <v>10</v>
      </c>
      <c r="B1041" t="s">
        <v>19</v>
      </c>
      <c r="C1041" s="3">
        <v>45834</v>
      </c>
      <c r="D1041">
        <v>125</v>
      </c>
      <c r="E1041">
        <v>82</v>
      </c>
      <c r="H1041">
        <v>25</v>
      </c>
      <c r="I1041">
        <f t="shared" si="158"/>
        <v>232</v>
      </c>
      <c r="J1041" t="s">
        <v>53</v>
      </c>
      <c r="M1041">
        <v>10</v>
      </c>
      <c r="N1041" t="s">
        <v>19</v>
      </c>
      <c r="O1041" s="3">
        <v>45835</v>
      </c>
      <c r="P1041">
        <v>118</v>
      </c>
      <c r="Q1041">
        <v>55</v>
      </c>
      <c r="T1041">
        <v>4</v>
      </c>
      <c r="U1041">
        <f t="shared" si="159"/>
        <v>177</v>
      </c>
      <c r="V1041" t="s">
        <v>53</v>
      </c>
    </row>
    <row r="1042" spans="1:22">
      <c r="A1042">
        <v>11</v>
      </c>
      <c r="B1042" t="s">
        <v>25</v>
      </c>
      <c r="C1042" s="3">
        <v>45834</v>
      </c>
      <c r="D1042">
        <v>5</v>
      </c>
      <c r="E1042">
        <v>7</v>
      </c>
      <c r="F1042">
        <v>1</v>
      </c>
      <c r="G1042">
        <v>1</v>
      </c>
      <c r="H1042">
        <v>2</v>
      </c>
      <c r="I1042">
        <f t="shared" si="158"/>
        <v>14</v>
      </c>
      <c r="J1042" t="s">
        <v>54</v>
      </c>
      <c r="M1042">
        <v>11</v>
      </c>
      <c r="N1042" t="s">
        <v>25</v>
      </c>
      <c r="O1042" s="3">
        <v>45835</v>
      </c>
      <c r="U1042">
        <f t="shared" si="159"/>
        <v>0</v>
      </c>
      <c r="V1042" t="s">
        <v>54</v>
      </c>
    </row>
    <row r="1043" spans="1:22">
      <c r="A1043">
        <v>12</v>
      </c>
      <c r="B1043" t="s">
        <v>27</v>
      </c>
      <c r="C1043" s="3">
        <v>45834</v>
      </c>
      <c r="I1043">
        <f t="shared" si="158"/>
        <v>0</v>
      </c>
      <c r="J1043" t="s">
        <v>56</v>
      </c>
      <c r="M1043">
        <v>12</v>
      </c>
      <c r="N1043" t="s">
        <v>27</v>
      </c>
      <c r="O1043" s="3">
        <v>45835</v>
      </c>
      <c r="U1043">
        <f t="shared" si="159"/>
        <v>0</v>
      </c>
      <c r="V1043" t="s">
        <v>56</v>
      </c>
    </row>
    <row r="1044" spans="1:22">
      <c r="A1044">
        <v>13</v>
      </c>
      <c r="B1044" t="s">
        <v>20</v>
      </c>
      <c r="C1044" s="3">
        <v>45834</v>
      </c>
      <c r="D1044">
        <v>100</v>
      </c>
      <c r="E1044">
        <v>97</v>
      </c>
      <c r="F1044">
        <v>5</v>
      </c>
      <c r="G1044">
        <v>7</v>
      </c>
      <c r="H1044">
        <v>12</v>
      </c>
      <c r="I1044">
        <f t="shared" si="158"/>
        <v>209</v>
      </c>
      <c r="J1044" t="s">
        <v>57</v>
      </c>
      <c r="M1044">
        <v>13</v>
      </c>
      <c r="N1044" t="s">
        <v>20</v>
      </c>
      <c r="O1044" s="3">
        <v>45835</v>
      </c>
      <c r="U1044">
        <f t="shared" si="159"/>
        <v>0</v>
      </c>
      <c r="V1044" t="s">
        <v>57</v>
      </c>
    </row>
    <row r="1045" spans="1:22">
      <c r="A1045">
        <v>14</v>
      </c>
      <c r="B1045" t="s">
        <v>32</v>
      </c>
      <c r="C1045" s="3">
        <v>45834</v>
      </c>
      <c r="D1045">
        <v>44</v>
      </c>
      <c r="E1045">
        <v>93</v>
      </c>
      <c r="F1045">
        <v>7</v>
      </c>
      <c r="G1045">
        <v>3</v>
      </c>
      <c r="H1045">
        <v>10</v>
      </c>
      <c r="I1045">
        <f t="shared" si="158"/>
        <v>147</v>
      </c>
      <c r="J1045" t="s">
        <v>50</v>
      </c>
      <c r="M1045">
        <v>14</v>
      </c>
      <c r="N1045" t="s">
        <v>32</v>
      </c>
      <c r="O1045" s="3">
        <v>45835</v>
      </c>
      <c r="P1045">
        <v>27</v>
      </c>
      <c r="Q1045">
        <v>47</v>
      </c>
      <c r="R1045">
        <v>1</v>
      </c>
      <c r="S1045">
        <v>2</v>
      </c>
      <c r="T1045">
        <v>3</v>
      </c>
      <c r="U1045">
        <f t="shared" si="159"/>
        <v>77</v>
      </c>
      <c r="V1045" t="s">
        <v>50</v>
      </c>
    </row>
    <row r="1046" spans="1:22">
      <c r="A1046">
        <v>15</v>
      </c>
      <c r="B1046" t="s">
        <v>48</v>
      </c>
      <c r="C1046" s="3">
        <v>45834</v>
      </c>
      <c r="I1046">
        <f t="shared" si="158"/>
        <v>0</v>
      </c>
      <c r="J1046" t="s">
        <v>59</v>
      </c>
      <c r="M1046">
        <v>15</v>
      </c>
      <c r="N1046" t="s">
        <v>48</v>
      </c>
      <c r="O1046" s="3">
        <v>45835</v>
      </c>
      <c r="U1046">
        <f t="shared" si="159"/>
        <v>0</v>
      </c>
      <c r="V1046" t="s">
        <v>59</v>
      </c>
    </row>
    <row r="1047" spans="1:22">
      <c r="A1047">
        <v>16</v>
      </c>
      <c r="B1047" t="s">
        <v>37</v>
      </c>
      <c r="C1047" s="3">
        <v>45834</v>
      </c>
      <c r="D1047">
        <v>20</v>
      </c>
      <c r="E1047">
        <v>18</v>
      </c>
      <c r="F1047">
        <v>3</v>
      </c>
      <c r="G1047">
        <v>1</v>
      </c>
      <c r="H1047">
        <v>4</v>
      </c>
      <c r="I1047">
        <f t="shared" si="158"/>
        <v>42</v>
      </c>
      <c r="J1047" t="s">
        <v>55</v>
      </c>
      <c r="M1047">
        <v>16</v>
      </c>
      <c r="N1047" t="s">
        <v>37</v>
      </c>
      <c r="O1047" s="3">
        <v>45835</v>
      </c>
      <c r="P1047">
        <v>22</v>
      </c>
      <c r="Q1047">
        <v>15</v>
      </c>
      <c r="R1047">
        <v>0</v>
      </c>
      <c r="S1047">
        <v>1</v>
      </c>
      <c r="T1047">
        <v>1</v>
      </c>
      <c r="U1047">
        <f t="shared" si="159"/>
        <v>38</v>
      </c>
      <c r="V1047" t="s">
        <v>55</v>
      </c>
    </row>
    <row r="1048" spans="1:22">
      <c r="A1048">
        <v>17</v>
      </c>
      <c r="B1048" t="s">
        <v>49</v>
      </c>
      <c r="C1048" s="3">
        <v>45834</v>
      </c>
      <c r="I1048">
        <f t="shared" si="158"/>
        <v>0</v>
      </c>
      <c r="J1048" t="s">
        <v>59</v>
      </c>
      <c r="M1048">
        <v>17</v>
      </c>
      <c r="N1048" t="s">
        <v>49</v>
      </c>
      <c r="O1048" s="3">
        <v>45835</v>
      </c>
      <c r="U1048">
        <f t="shared" si="159"/>
        <v>0</v>
      </c>
      <c r="V1048" t="s">
        <v>59</v>
      </c>
    </row>
    <row r="1049" spans="1:22">
      <c r="A1049">
        <v>18</v>
      </c>
      <c r="B1049" t="s">
        <v>21</v>
      </c>
      <c r="C1049" s="3">
        <v>45834</v>
      </c>
      <c r="D1049">
        <v>145</v>
      </c>
      <c r="E1049">
        <v>155</v>
      </c>
      <c r="H1049">
        <v>97</v>
      </c>
      <c r="I1049">
        <f t="shared" si="158"/>
        <v>397</v>
      </c>
      <c r="J1049" t="s">
        <v>59</v>
      </c>
      <c r="M1049">
        <v>18</v>
      </c>
      <c r="N1049" t="s">
        <v>21</v>
      </c>
      <c r="O1049" s="3">
        <v>45835</v>
      </c>
      <c r="U1049">
        <f t="shared" si="159"/>
        <v>0</v>
      </c>
      <c r="V1049" t="s">
        <v>59</v>
      </c>
    </row>
    <row r="1050" spans="1:22">
      <c r="A1050">
        <v>19</v>
      </c>
      <c r="B1050" t="s">
        <v>104</v>
      </c>
      <c r="C1050" s="3">
        <v>45834</v>
      </c>
      <c r="I1050">
        <f>D1050+E1050+H1050</f>
        <v>0</v>
      </c>
      <c r="M1050">
        <v>19</v>
      </c>
      <c r="N1050" t="s">
        <v>104</v>
      </c>
      <c r="O1050" s="3">
        <v>45835</v>
      </c>
      <c r="U1050">
        <f>P1050+Q1050+T1050</f>
        <v>0</v>
      </c>
    </row>
    <row r="1051" spans="1:22">
      <c r="A1051">
        <v>20</v>
      </c>
      <c r="B1051" t="s">
        <v>26</v>
      </c>
      <c r="C1051" s="3">
        <v>45834</v>
      </c>
      <c r="I1051">
        <f t="shared" ref="I1051" si="160">D1051+E1051+H1051</f>
        <v>0</v>
      </c>
      <c r="J1051" t="s">
        <v>54</v>
      </c>
      <c r="M1051">
        <v>20</v>
      </c>
      <c r="N1051" t="s">
        <v>26</v>
      </c>
      <c r="O1051" s="3">
        <v>45835</v>
      </c>
      <c r="U1051">
        <f t="shared" ref="U1051" si="161">P1051+Q1051+T1051</f>
        <v>0</v>
      </c>
      <c r="V1051" t="s">
        <v>54</v>
      </c>
    </row>
    <row r="1052" spans="1:22">
      <c r="B1052" t="s">
        <v>8</v>
      </c>
      <c r="D1052">
        <f>D1032+D1033+D1034+D1035+D1036+D1037+D1039+D1038+D1040+D1041+D1042+D1043+D1044+D1045+D1047+D1049</f>
        <v>1025</v>
      </c>
      <c r="E1052">
        <f>SUM(E1032:E1051)</f>
        <v>1198</v>
      </c>
      <c r="I1052">
        <f>I1032+I1033+I1034+I1035+I1036+I1037+I1038+I1039+I1040+I1041+I1042+I1043+I1044+I1045+I1046+I1047+I1048+I1049+I1050+I1051</f>
        <v>2643</v>
      </c>
      <c r="N1052" t="s">
        <v>8</v>
      </c>
      <c r="P1052">
        <f>P1032+P1033+P1034+P1035+P1036+P1037+P1039+P1038+P1040+P1041+P1042+P1043+P1044+P1045+P1047+P1049</f>
        <v>710</v>
      </c>
      <c r="Q1052">
        <f>SUM(Q1032:Q1051)</f>
        <v>776</v>
      </c>
      <c r="U1052">
        <f>U1032+U1033+U1034+U1035+U1036+U1037+U1038+U1039+U1040+U1041+U1042+U1043+U1044+U1045+U1046+U1047+U1048+U1049+U1050+U1051</f>
        <v>1703</v>
      </c>
    </row>
    <row r="1054" spans="1:22">
      <c r="B1054" t="s">
        <v>38</v>
      </c>
      <c r="C1054" t="s">
        <v>269</v>
      </c>
      <c r="N1054" t="s">
        <v>38</v>
      </c>
      <c r="O1054" t="s">
        <v>270</v>
      </c>
    </row>
    <row r="1055" spans="1:22">
      <c r="A1055" t="s">
        <v>0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t="s">
        <v>7</v>
      </c>
      <c r="I1055" t="s">
        <v>8</v>
      </c>
      <c r="J1055" t="s">
        <v>51</v>
      </c>
      <c r="M1055" t="s">
        <v>0</v>
      </c>
      <c r="N1055" t="s">
        <v>1</v>
      </c>
      <c r="O1055" t="s">
        <v>2</v>
      </c>
      <c r="P1055" t="s">
        <v>3</v>
      </c>
      <c r="Q1055" t="s">
        <v>4</v>
      </c>
      <c r="R1055" t="s">
        <v>5</v>
      </c>
      <c r="S1055" t="s">
        <v>6</v>
      </c>
      <c r="T1055" t="s">
        <v>7</v>
      </c>
      <c r="U1055" t="s">
        <v>8</v>
      </c>
      <c r="V1055" t="s">
        <v>51</v>
      </c>
    </row>
    <row r="1056" spans="1:22">
      <c r="A1056">
        <v>1</v>
      </c>
      <c r="B1056" t="s">
        <v>9</v>
      </c>
      <c r="C1056" s="3">
        <v>45836</v>
      </c>
      <c r="D1056">
        <v>17</v>
      </c>
      <c r="E1056">
        <v>13</v>
      </c>
      <c r="F1056">
        <v>2</v>
      </c>
      <c r="G1056">
        <v>3</v>
      </c>
      <c r="H1056">
        <v>5</v>
      </c>
      <c r="I1056">
        <f>D1056+E1056+H1056</f>
        <v>35</v>
      </c>
      <c r="J1056" t="s">
        <v>50</v>
      </c>
      <c r="M1056">
        <v>1</v>
      </c>
      <c r="N1056" t="s">
        <v>9</v>
      </c>
      <c r="O1056" s="3">
        <v>45837</v>
      </c>
      <c r="U1056">
        <f>P1056+Q1056+T1056</f>
        <v>0</v>
      </c>
      <c r="V1056" t="s">
        <v>50</v>
      </c>
    </row>
    <row r="1057" spans="1:22">
      <c r="A1057">
        <v>2</v>
      </c>
      <c r="B1057" t="s">
        <v>11</v>
      </c>
      <c r="C1057" s="3">
        <v>45836</v>
      </c>
      <c r="D1057">
        <v>13</v>
      </c>
      <c r="E1057">
        <v>5</v>
      </c>
      <c r="F1057">
        <v>0</v>
      </c>
      <c r="G1057">
        <v>3</v>
      </c>
      <c r="H1057">
        <v>3</v>
      </c>
      <c r="I1057">
        <f>D1057+E1057+H1057</f>
        <v>21</v>
      </c>
      <c r="J1057" t="s">
        <v>52</v>
      </c>
      <c r="M1057">
        <v>2</v>
      </c>
      <c r="N1057" t="s">
        <v>11</v>
      </c>
      <c r="O1057" s="3">
        <v>45837</v>
      </c>
      <c r="P1057">
        <v>19</v>
      </c>
      <c r="Q1057">
        <v>3</v>
      </c>
      <c r="R1057">
        <v>0</v>
      </c>
      <c r="S1057">
        <v>0</v>
      </c>
      <c r="T1057">
        <v>0</v>
      </c>
      <c r="U1057">
        <f>P1057+Q1057+T1057</f>
        <v>22</v>
      </c>
      <c r="V1057" t="s">
        <v>52</v>
      </c>
    </row>
    <row r="1058" spans="1:22">
      <c r="A1058">
        <v>3</v>
      </c>
      <c r="B1058" t="s">
        <v>12</v>
      </c>
      <c r="C1058" s="3">
        <v>45836</v>
      </c>
      <c r="D1058">
        <v>45</v>
      </c>
      <c r="E1058">
        <v>47</v>
      </c>
      <c r="H1058">
        <v>0</v>
      </c>
      <c r="I1058">
        <f>SUM(D1058,E1058,H1058)</f>
        <v>92</v>
      </c>
      <c r="J1058" t="s">
        <v>53</v>
      </c>
      <c r="M1058">
        <v>3</v>
      </c>
      <c r="N1058" t="s">
        <v>12</v>
      </c>
      <c r="O1058" s="3">
        <v>45837</v>
      </c>
      <c r="P1058">
        <v>34</v>
      </c>
      <c r="Q1058">
        <v>44</v>
      </c>
      <c r="T1058">
        <v>0</v>
      </c>
      <c r="U1058">
        <f>SUM(P1058,Q1058,T1058)</f>
        <v>78</v>
      </c>
      <c r="V1058" t="s">
        <v>53</v>
      </c>
    </row>
    <row r="1059" spans="1:22">
      <c r="A1059">
        <v>4</v>
      </c>
      <c r="B1059" t="s">
        <v>13</v>
      </c>
      <c r="C1059" s="3">
        <v>45836</v>
      </c>
      <c r="D1059">
        <v>26</v>
      </c>
      <c r="E1059">
        <v>11</v>
      </c>
      <c r="H1059">
        <v>3</v>
      </c>
      <c r="I1059">
        <f t="shared" ref="I1059:I1073" si="162">D1059+E1059+H1059</f>
        <v>40</v>
      </c>
      <c r="J1059" t="s">
        <v>52</v>
      </c>
      <c r="M1059">
        <v>4</v>
      </c>
      <c r="N1059" t="s">
        <v>13</v>
      </c>
      <c r="O1059" s="3">
        <v>45837</v>
      </c>
      <c r="P1059">
        <v>21</v>
      </c>
      <c r="Q1059">
        <v>9</v>
      </c>
      <c r="T1059">
        <v>1</v>
      </c>
      <c r="U1059">
        <f t="shared" ref="U1059:U1073" si="163">P1059+Q1059+T1059</f>
        <v>31</v>
      </c>
      <c r="V1059" t="s">
        <v>52</v>
      </c>
    </row>
    <row r="1060" spans="1:22">
      <c r="A1060">
        <v>5</v>
      </c>
      <c r="B1060" t="s">
        <v>14</v>
      </c>
      <c r="C1060" s="3">
        <v>45836</v>
      </c>
      <c r="D1060">
        <v>424</v>
      </c>
      <c r="E1060">
        <v>565</v>
      </c>
      <c r="H1060">
        <v>236</v>
      </c>
      <c r="I1060">
        <f t="shared" si="162"/>
        <v>1225</v>
      </c>
      <c r="J1060" t="s">
        <v>54</v>
      </c>
      <c r="M1060">
        <v>5</v>
      </c>
      <c r="N1060" t="s">
        <v>14</v>
      </c>
      <c r="O1060" s="3">
        <v>45837</v>
      </c>
      <c r="P1060">
        <v>56</v>
      </c>
      <c r="Q1060">
        <v>70</v>
      </c>
      <c r="T1060">
        <v>24</v>
      </c>
      <c r="U1060">
        <f t="shared" si="163"/>
        <v>150</v>
      </c>
      <c r="V1060" t="s">
        <v>54</v>
      </c>
    </row>
    <row r="1061" spans="1:22">
      <c r="A1061">
        <v>6</v>
      </c>
      <c r="B1061" t="s">
        <v>15</v>
      </c>
      <c r="C1061" s="3">
        <v>45836</v>
      </c>
      <c r="I1061">
        <f t="shared" si="162"/>
        <v>0</v>
      </c>
      <c r="J1061" t="s">
        <v>55</v>
      </c>
      <c r="M1061">
        <v>6</v>
      </c>
      <c r="N1061" t="s">
        <v>15</v>
      </c>
      <c r="O1061" s="3">
        <v>45837</v>
      </c>
      <c r="P1061">
        <v>75</v>
      </c>
      <c r="Q1061">
        <v>44</v>
      </c>
      <c r="T1061">
        <v>0</v>
      </c>
      <c r="U1061">
        <f t="shared" si="163"/>
        <v>119</v>
      </c>
      <c r="V1061" t="s">
        <v>55</v>
      </c>
    </row>
    <row r="1062" spans="1:22">
      <c r="A1062">
        <v>7</v>
      </c>
      <c r="B1062" t="s">
        <v>16</v>
      </c>
      <c r="C1062" s="3">
        <v>45836</v>
      </c>
      <c r="I1062">
        <f t="shared" si="162"/>
        <v>0</v>
      </c>
      <c r="J1062" t="s">
        <v>52</v>
      </c>
      <c r="M1062">
        <v>7</v>
      </c>
      <c r="N1062" t="s">
        <v>16</v>
      </c>
      <c r="O1062" s="3">
        <v>45837</v>
      </c>
      <c r="U1062">
        <f t="shared" si="163"/>
        <v>0</v>
      </c>
      <c r="V1062" t="s">
        <v>52</v>
      </c>
    </row>
    <row r="1063" spans="1:22">
      <c r="A1063">
        <v>8</v>
      </c>
      <c r="B1063" t="s">
        <v>17</v>
      </c>
      <c r="C1063" s="3">
        <v>45836</v>
      </c>
      <c r="D1063">
        <v>45</v>
      </c>
      <c r="E1063">
        <v>37</v>
      </c>
      <c r="H1063">
        <v>6</v>
      </c>
      <c r="I1063">
        <f t="shared" si="162"/>
        <v>88</v>
      </c>
      <c r="J1063" t="s">
        <v>50</v>
      </c>
      <c r="M1063">
        <v>8</v>
      </c>
      <c r="N1063" t="s">
        <v>17</v>
      </c>
      <c r="O1063" s="3">
        <v>45837</v>
      </c>
      <c r="P1063">
        <v>137</v>
      </c>
      <c r="Q1063">
        <v>141</v>
      </c>
      <c r="R1063">
        <v>6</v>
      </c>
      <c r="S1063">
        <v>9</v>
      </c>
      <c r="T1063">
        <v>15</v>
      </c>
      <c r="U1063">
        <f t="shared" si="163"/>
        <v>293</v>
      </c>
      <c r="V1063" t="s">
        <v>50</v>
      </c>
    </row>
    <row r="1064" spans="1:22">
      <c r="A1064">
        <v>9</v>
      </c>
      <c r="B1064" t="s">
        <v>18</v>
      </c>
      <c r="C1064" s="3">
        <v>45836</v>
      </c>
      <c r="D1064">
        <v>38</v>
      </c>
      <c r="E1064">
        <v>13</v>
      </c>
      <c r="H1064">
        <v>3</v>
      </c>
      <c r="I1064">
        <f t="shared" si="162"/>
        <v>54</v>
      </c>
      <c r="J1064" t="s">
        <v>56</v>
      </c>
      <c r="M1064">
        <v>9</v>
      </c>
      <c r="N1064" t="s">
        <v>18</v>
      </c>
      <c r="O1064" s="3">
        <v>45837</v>
      </c>
      <c r="P1064">
        <v>18</v>
      </c>
      <c r="Q1064">
        <v>9</v>
      </c>
      <c r="T1064">
        <v>5</v>
      </c>
      <c r="U1064">
        <f t="shared" si="163"/>
        <v>32</v>
      </c>
      <c r="V1064" t="s">
        <v>56</v>
      </c>
    </row>
    <row r="1065" spans="1:22">
      <c r="A1065">
        <v>10</v>
      </c>
      <c r="B1065" t="s">
        <v>19</v>
      </c>
      <c r="C1065" s="3">
        <v>45836</v>
      </c>
      <c r="I1065">
        <f t="shared" si="162"/>
        <v>0</v>
      </c>
      <c r="J1065" t="s">
        <v>53</v>
      </c>
      <c r="M1065">
        <v>10</v>
      </c>
      <c r="N1065" t="s">
        <v>19</v>
      </c>
      <c r="O1065" s="3">
        <v>45837</v>
      </c>
      <c r="P1065">
        <v>54</v>
      </c>
      <c r="Q1065">
        <v>27</v>
      </c>
      <c r="T1065">
        <v>8</v>
      </c>
      <c r="U1065">
        <f t="shared" si="163"/>
        <v>89</v>
      </c>
      <c r="V1065" t="s">
        <v>53</v>
      </c>
    </row>
    <row r="1066" spans="1:22">
      <c r="A1066">
        <v>11</v>
      </c>
      <c r="B1066" t="s">
        <v>25</v>
      </c>
      <c r="C1066" s="3">
        <v>45836</v>
      </c>
      <c r="D1066">
        <v>9</v>
      </c>
      <c r="E1066">
        <v>1</v>
      </c>
      <c r="F1066">
        <v>0</v>
      </c>
      <c r="G1066">
        <v>0</v>
      </c>
      <c r="H1066">
        <v>0</v>
      </c>
      <c r="I1066">
        <f t="shared" si="162"/>
        <v>10</v>
      </c>
      <c r="J1066" t="s">
        <v>54</v>
      </c>
      <c r="M1066">
        <v>11</v>
      </c>
      <c r="N1066" t="s">
        <v>25</v>
      </c>
      <c r="O1066" s="3">
        <v>45837</v>
      </c>
      <c r="U1066">
        <f t="shared" si="163"/>
        <v>0</v>
      </c>
      <c r="V1066" t="s">
        <v>54</v>
      </c>
    </row>
    <row r="1067" spans="1:22">
      <c r="A1067">
        <v>12</v>
      </c>
      <c r="B1067" t="s">
        <v>27</v>
      </c>
      <c r="C1067" s="3">
        <v>45836</v>
      </c>
      <c r="I1067">
        <f t="shared" si="162"/>
        <v>0</v>
      </c>
      <c r="J1067" t="s">
        <v>56</v>
      </c>
      <c r="M1067">
        <v>12</v>
      </c>
      <c r="N1067" t="s">
        <v>27</v>
      </c>
      <c r="O1067" s="3">
        <v>45837</v>
      </c>
      <c r="U1067">
        <f t="shared" si="163"/>
        <v>0</v>
      </c>
      <c r="V1067" t="s">
        <v>56</v>
      </c>
    </row>
    <row r="1068" spans="1:22">
      <c r="A1068">
        <v>13</v>
      </c>
      <c r="B1068" t="s">
        <v>20</v>
      </c>
      <c r="C1068" s="3">
        <v>45836</v>
      </c>
      <c r="I1068">
        <f t="shared" si="162"/>
        <v>0</v>
      </c>
      <c r="J1068" t="s">
        <v>57</v>
      </c>
      <c r="M1068">
        <v>13</v>
      </c>
      <c r="N1068" t="s">
        <v>20</v>
      </c>
      <c r="O1068" s="3">
        <v>45837</v>
      </c>
      <c r="U1068">
        <f t="shared" si="163"/>
        <v>0</v>
      </c>
      <c r="V1068" t="s">
        <v>57</v>
      </c>
    </row>
    <row r="1069" spans="1:22">
      <c r="A1069">
        <v>14</v>
      </c>
      <c r="B1069" t="s">
        <v>32</v>
      </c>
      <c r="C1069" s="3">
        <v>45836</v>
      </c>
      <c r="D1069">
        <v>22</v>
      </c>
      <c r="E1069">
        <v>26</v>
      </c>
      <c r="F1069">
        <v>3</v>
      </c>
      <c r="G1069">
        <v>5</v>
      </c>
      <c r="H1069">
        <v>8</v>
      </c>
      <c r="I1069">
        <f t="shared" si="162"/>
        <v>56</v>
      </c>
      <c r="J1069" t="s">
        <v>50</v>
      </c>
      <c r="M1069">
        <v>14</v>
      </c>
      <c r="N1069" t="s">
        <v>32</v>
      </c>
      <c r="O1069" s="3">
        <v>45837</v>
      </c>
      <c r="P1069">
        <v>16</v>
      </c>
      <c r="Q1069">
        <v>10</v>
      </c>
      <c r="R1069">
        <v>7</v>
      </c>
      <c r="S1069">
        <v>2</v>
      </c>
      <c r="T1069">
        <v>9</v>
      </c>
      <c r="U1069">
        <f t="shared" si="163"/>
        <v>35</v>
      </c>
      <c r="V1069" t="s">
        <v>50</v>
      </c>
    </row>
    <row r="1070" spans="1:22">
      <c r="A1070">
        <v>15</v>
      </c>
      <c r="B1070" t="s">
        <v>48</v>
      </c>
      <c r="C1070" s="3">
        <v>45836</v>
      </c>
      <c r="I1070">
        <f t="shared" si="162"/>
        <v>0</v>
      </c>
      <c r="J1070" t="s">
        <v>59</v>
      </c>
      <c r="M1070">
        <v>15</v>
      </c>
      <c r="N1070" t="s">
        <v>48</v>
      </c>
      <c r="O1070" s="3">
        <v>45837</v>
      </c>
      <c r="U1070">
        <f t="shared" si="163"/>
        <v>0</v>
      </c>
      <c r="V1070" t="s">
        <v>59</v>
      </c>
    </row>
    <row r="1071" spans="1:22">
      <c r="A1071">
        <v>16</v>
      </c>
      <c r="B1071" t="s">
        <v>37</v>
      </c>
      <c r="C1071" s="3">
        <v>45836</v>
      </c>
      <c r="I1071">
        <f t="shared" si="162"/>
        <v>0</v>
      </c>
      <c r="J1071" t="s">
        <v>55</v>
      </c>
      <c r="M1071">
        <v>16</v>
      </c>
      <c r="N1071" t="s">
        <v>37</v>
      </c>
      <c r="O1071" s="3">
        <v>45837</v>
      </c>
      <c r="U1071">
        <f t="shared" si="163"/>
        <v>0</v>
      </c>
      <c r="V1071" t="s">
        <v>55</v>
      </c>
    </row>
    <row r="1072" spans="1:22">
      <c r="A1072">
        <v>17</v>
      </c>
      <c r="B1072" t="s">
        <v>49</v>
      </c>
      <c r="C1072" s="3">
        <v>45836</v>
      </c>
      <c r="I1072">
        <f t="shared" si="162"/>
        <v>0</v>
      </c>
      <c r="J1072" t="s">
        <v>59</v>
      </c>
      <c r="M1072">
        <v>17</v>
      </c>
      <c r="N1072" t="s">
        <v>49</v>
      </c>
      <c r="O1072" s="3">
        <v>45837</v>
      </c>
      <c r="U1072">
        <f t="shared" si="163"/>
        <v>0</v>
      </c>
      <c r="V1072" t="s">
        <v>59</v>
      </c>
    </row>
    <row r="1073" spans="1:22">
      <c r="A1073">
        <v>18</v>
      </c>
      <c r="B1073" t="s">
        <v>21</v>
      </c>
      <c r="C1073" s="3">
        <v>45836</v>
      </c>
      <c r="D1073">
        <v>134</v>
      </c>
      <c r="E1073">
        <v>202</v>
      </c>
      <c r="H1073">
        <v>51</v>
      </c>
      <c r="I1073">
        <f t="shared" si="162"/>
        <v>387</v>
      </c>
      <c r="J1073" t="s">
        <v>59</v>
      </c>
      <c r="M1073">
        <v>18</v>
      </c>
      <c r="N1073" t="s">
        <v>21</v>
      </c>
      <c r="O1073" s="3">
        <v>45837</v>
      </c>
      <c r="U1073">
        <f t="shared" si="163"/>
        <v>0</v>
      </c>
      <c r="V1073" t="s">
        <v>59</v>
      </c>
    </row>
    <row r="1074" spans="1:22">
      <c r="A1074">
        <v>19</v>
      </c>
      <c r="B1074" t="s">
        <v>104</v>
      </c>
      <c r="C1074" s="3">
        <v>45836</v>
      </c>
      <c r="I1074">
        <f>D1074+E1074+H1074</f>
        <v>0</v>
      </c>
      <c r="M1074">
        <v>19</v>
      </c>
      <c r="N1074" t="s">
        <v>104</v>
      </c>
      <c r="O1074" s="3">
        <v>45837</v>
      </c>
      <c r="U1074">
        <f>P1074+Q1074+T1074</f>
        <v>0</v>
      </c>
    </row>
    <row r="1075" spans="1:22">
      <c r="A1075">
        <v>20</v>
      </c>
      <c r="B1075" t="s">
        <v>26</v>
      </c>
      <c r="C1075" s="3">
        <v>45836</v>
      </c>
      <c r="I1075">
        <f t="shared" ref="I1075" si="164">D1075+E1075+H1075</f>
        <v>0</v>
      </c>
      <c r="J1075" t="s">
        <v>54</v>
      </c>
      <c r="M1075">
        <v>20</v>
      </c>
      <c r="N1075" t="s">
        <v>26</v>
      </c>
      <c r="O1075" s="3">
        <v>45837</v>
      </c>
      <c r="U1075">
        <f t="shared" ref="U1075" si="165">P1075+Q1075+T1075</f>
        <v>0</v>
      </c>
      <c r="V1075" t="s">
        <v>54</v>
      </c>
    </row>
    <row r="1076" spans="1:22">
      <c r="B1076" t="s">
        <v>8</v>
      </c>
      <c r="D1076">
        <f>D1056+D1057+D1058+D1059+D1060+D1061+D1063+D1062+D1064+D1065+D1066+D1067+D1068+D1069+D1071+D1073</f>
        <v>773</v>
      </c>
      <c r="E1076">
        <f>SUM(E1056:E1075)</f>
        <v>920</v>
      </c>
      <c r="I1076">
        <f>I1056+I1057+I1058+I1059+I1060+I1061+I1062+I1063+I1064+I1065+I1066+I1067+I1068+I1069+I1070+I1071+I1072+I1073+I1074+I1075</f>
        <v>2008</v>
      </c>
      <c r="N1076" t="s">
        <v>8</v>
      </c>
      <c r="P1076">
        <f>P1056+P1057+P1058+P1059+P1060+P1061+P1063+P1062+P1064+P1065+P1066+P1067+P1068+P1069+P1071+P1073</f>
        <v>430</v>
      </c>
      <c r="Q1076">
        <f>SUM(Q1056:Q1075)</f>
        <v>357</v>
      </c>
      <c r="U1076">
        <f>U1056+U1057+U1058+U1059+U1060+U1061+U1062+U1063+U1064+U1065+U1066+U1067+U1068+U1069+U1070+U1071+U1072+U1073+U1074+U1075</f>
        <v>849</v>
      </c>
    </row>
    <row r="1079" spans="1:22">
      <c r="B1079" t="s">
        <v>38</v>
      </c>
      <c r="C1079" t="s">
        <v>271</v>
      </c>
      <c r="N1079" t="s">
        <v>38</v>
      </c>
      <c r="O1079" t="s">
        <v>271</v>
      </c>
    </row>
    <row r="1080" spans="1:22">
      <c r="A1080" t="s">
        <v>0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t="s">
        <v>7</v>
      </c>
      <c r="I1080" t="s">
        <v>8</v>
      </c>
      <c r="J1080" t="s">
        <v>51</v>
      </c>
      <c r="M1080" t="s">
        <v>0</v>
      </c>
      <c r="N1080" t="s">
        <v>1</v>
      </c>
      <c r="O1080" t="s">
        <v>2</v>
      </c>
      <c r="P1080" t="s">
        <v>3</v>
      </c>
      <c r="Q1080" t="s">
        <v>4</v>
      </c>
      <c r="R1080" t="s">
        <v>5</v>
      </c>
      <c r="S1080" t="s">
        <v>6</v>
      </c>
      <c r="T1080" t="s">
        <v>7</v>
      </c>
      <c r="U1080" t="s">
        <v>8</v>
      </c>
      <c r="V1080" t="s">
        <v>51</v>
      </c>
    </row>
    <row r="1081" spans="1:22">
      <c r="A1081">
        <v>1</v>
      </c>
      <c r="B1081" t="s">
        <v>9</v>
      </c>
      <c r="C1081" s="3">
        <v>45838</v>
      </c>
      <c r="I1081">
        <f>D1081+E1081+H1081</f>
        <v>0</v>
      </c>
      <c r="J1081" t="s">
        <v>50</v>
      </c>
      <c r="M1081">
        <v>1</v>
      </c>
      <c r="N1081" t="s">
        <v>9</v>
      </c>
      <c r="O1081" t="s">
        <v>272</v>
      </c>
      <c r="U1081">
        <f>P1081+Q1081+T1081</f>
        <v>0</v>
      </c>
      <c r="V1081" t="s">
        <v>50</v>
      </c>
    </row>
    <row r="1082" spans="1:22">
      <c r="A1082">
        <v>2</v>
      </c>
      <c r="B1082" t="s">
        <v>11</v>
      </c>
      <c r="C1082" s="3">
        <v>45838</v>
      </c>
      <c r="I1082">
        <f>D1082+E1082+H1082</f>
        <v>0</v>
      </c>
      <c r="J1082" t="s">
        <v>52</v>
      </c>
      <c r="M1082">
        <v>2</v>
      </c>
      <c r="N1082" t="s">
        <v>11</v>
      </c>
      <c r="U1082">
        <f>P1082+Q1082+T1082</f>
        <v>0</v>
      </c>
      <c r="V1082" t="s">
        <v>52</v>
      </c>
    </row>
    <row r="1083" spans="1:22">
      <c r="A1083">
        <v>3</v>
      </c>
      <c r="B1083" t="s">
        <v>12</v>
      </c>
      <c r="C1083" s="3">
        <v>45838</v>
      </c>
      <c r="D1083">
        <v>39</v>
      </c>
      <c r="E1083">
        <v>28</v>
      </c>
      <c r="H1083">
        <v>0</v>
      </c>
      <c r="I1083">
        <f>SUM(D1083,E1083,H1083)</f>
        <v>67</v>
      </c>
      <c r="J1083" t="s">
        <v>53</v>
      </c>
      <c r="M1083">
        <v>3</v>
      </c>
      <c r="N1083" t="s">
        <v>12</v>
      </c>
      <c r="U1083">
        <f>SUM(P1083,Q1083,T1083)</f>
        <v>0</v>
      </c>
      <c r="V1083" t="s">
        <v>53</v>
      </c>
    </row>
    <row r="1084" spans="1:22">
      <c r="A1084">
        <v>4</v>
      </c>
      <c r="B1084" t="s">
        <v>13</v>
      </c>
      <c r="C1084" s="3">
        <v>45838</v>
      </c>
      <c r="D1084">
        <v>13</v>
      </c>
      <c r="E1084">
        <v>6</v>
      </c>
      <c r="H1084">
        <v>0</v>
      </c>
      <c r="I1084">
        <f t="shared" ref="I1084:I1098" si="166">D1084+E1084+H1084</f>
        <v>19</v>
      </c>
      <c r="J1084" t="s">
        <v>52</v>
      </c>
      <c r="M1084">
        <v>4</v>
      </c>
      <c r="N1084" t="s">
        <v>13</v>
      </c>
      <c r="U1084">
        <f t="shared" ref="U1084:U1098" si="167">P1084+Q1084+T1084</f>
        <v>0</v>
      </c>
      <c r="V1084" t="s">
        <v>52</v>
      </c>
    </row>
    <row r="1085" spans="1:22">
      <c r="A1085">
        <v>5</v>
      </c>
      <c r="B1085" t="s">
        <v>14</v>
      </c>
      <c r="C1085" s="3">
        <v>45838</v>
      </c>
      <c r="I1085">
        <f t="shared" si="166"/>
        <v>0</v>
      </c>
      <c r="J1085" t="s">
        <v>54</v>
      </c>
      <c r="M1085">
        <v>5</v>
      </c>
      <c r="N1085" t="s">
        <v>14</v>
      </c>
      <c r="U1085">
        <f t="shared" si="167"/>
        <v>0</v>
      </c>
      <c r="V1085" t="s">
        <v>54</v>
      </c>
    </row>
    <row r="1086" spans="1:22">
      <c r="A1086">
        <v>6</v>
      </c>
      <c r="B1086" t="s">
        <v>15</v>
      </c>
      <c r="C1086" s="3">
        <v>45838</v>
      </c>
      <c r="D1086">
        <v>90</v>
      </c>
      <c r="E1086">
        <v>69</v>
      </c>
      <c r="H1086">
        <v>0</v>
      </c>
      <c r="I1086">
        <f t="shared" si="166"/>
        <v>159</v>
      </c>
      <c r="J1086" t="s">
        <v>55</v>
      </c>
      <c r="M1086">
        <v>6</v>
      </c>
      <c r="N1086" t="s">
        <v>15</v>
      </c>
      <c r="U1086">
        <f t="shared" si="167"/>
        <v>0</v>
      </c>
      <c r="V1086" t="s">
        <v>55</v>
      </c>
    </row>
    <row r="1087" spans="1:22">
      <c r="A1087">
        <v>7</v>
      </c>
      <c r="B1087" t="s">
        <v>16</v>
      </c>
      <c r="C1087" s="3">
        <v>45838</v>
      </c>
      <c r="D1087">
        <v>51</v>
      </c>
      <c r="E1087">
        <v>69</v>
      </c>
      <c r="H1087">
        <v>0</v>
      </c>
      <c r="I1087">
        <f t="shared" si="166"/>
        <v>120</v>
      </c>
      <c r="J1087" t="s">
        <v>52</v>
      </c>
      <c r="M1087">
        <v>7</v>
      </c>
      <c r="N1087" t="s">
        <v>16</v>
      </c>
      <c r="U1087">
        <f t="shared" si="167"/>
        <v>0</v>
      </c>
      <c r="V1087" t="s">
        <v>52</v>
      </c>
    </row>
    <row r="1088" spans="1:22">
      <c r="A1088">
        <v>8</v>
      </c>
      <c r="B1088" t="s">
        <v>17</v>
      </c>
      <c r="C1088" s="3">
        <v>45838</v>
      </c>
      <c r="D1088">
        <v>150</v>
      </c>
      <c r="E1088">
        <v>179</v>
      </c>
      <c r="F1088">
        <v>8</v>
      </c>
      <c r="G1088">
        <v>7</v>
      </c>
      <c r="H1088">
        <v>15</v>
      </c>
      <c r="I1088">
        <f t="shared" si="166"/>
        <v>344</v>
      </c>
      <c r="J1088" t="s">
        <v>50</v>
      </c>
      <c r="M1088">
        <v>8</v>
      </c>
      <c r="N1088" t="s">
        <v>17</v>
      </c>
      <c r="U1088">
        <f t="shared" si="167"/>
        <v>0</v>
      </c>
      <c r="V1088" t="s">
        <v>50</v>
      </c>
    </row>
    <row r="1089" spans="1:22">
      <c r="A1089">
        <v>9</v>
      </c>
      <c r="B1089" t="s">
        <v>18</v>
      </c>
      <c r="C1089" s="3">
        <v>45838</v>
      </c>
      <c r="D1089">
        <v>53</v>
      </c>
      <c r="E1089">
        <v>28</v>
      </c>
      <c r="H1089">
        <v>7</v>
      </c>
      <c r="I1089">
        <f t="shared" si="166"/>
        <v>88</v>
      </c>
      <c r="J1089" t="s">
        <v>56</v>
      </c>
      <c r="M1089">
        <v>9</v>
      </c>
      <c r="N1089" t="s">
        <v>18</v>
      </c>
      <c r="U1089">
        <f t="shared" si="167"/>
        <v>0</v>
      </c>
      <c r="V1089" t="s">
        <v>56</v>
      </c>
    </row>
    <row r="1090" spans="1:22">
      <c r="A1090">
        <v>10</v>
      </c>
      <c r="B1090" t="s">
        <v>19</v>
      </c>
      <c r="C1090" s="3">
        <v>45838</v>
      </c>
      <c r="I1090">
        <f t="shared" si="166"/>
        <v>0</v>
      </c>
      <c r="J1090" t="s">
        <v>53</v>
      </c>
      <c r="M1090">
        <v>10</v>
      </c>
      <c r="N1090" t="s">
        <v>19</v>
      </c>
      <c r="U1090">
        <f t="shared" si="167"/>
        <v>0</v>
      </c>
      <c r="V1090" t="s">
        <v>53</v>
      </c>
    </row>
    <row r="1091" spans="1:22">
      <c r="A1091">
        <v>11</v>
      </c>
      <c r="B1091" t="s">
        <v>25</v>
      </c>
      <c r="C1091" s="3">
        <v>45838</v>
      </c>
      <c r="D1091">
        <v>6</v>
      </c>
      <c r="E1091">
        <v>5</v>
      </c>
      <c r="F1091">
        <v>2</v>
      </c>
      <c r="G1091">
        <v>0</v>
      </c>
      <c r="H1091">
        <v>2</v>
      </c>
      <c r="I1091">
        <f t="shared" si="166"/>
        <v>13</v>
      </c>
      <c r="J1091" t="s">
        <v>54</v>
      </c>
      <c r="M1091">
        <v>11</v>
      </c>
      <c r="N1091" t="s">
        <v>25</v>
      </c>
      <c r="U1091">
        <f t="shared" si="167"/>
        <v>0</v>
      </c>
      <c r="V1091" t="s">
        <v>54</v>
      </c>
    </row>
    <row r="1092" spans="1:22">
      <c r="A1092">
        <v>12</v>
      </c>
      <c r="B1092" t="s">
        <v>27</v>
      </c>
      <c r="C1092" s="3">
        <v>45838</v>
      </c>
      <c r="D1092">
        <v>198</v>
      </c>
      <c r="E1092">
        <v>223</v>
      </c>
      <c r="F1092">
        <v>29</v>
      </c>
      <c r="G1092">
        <v>40</v>
      </c>
      <c r="H1092">
        <v>69</v>
      </c>
      <c r="I1092">
        <f t="shared" si="166"/>
        <v>490</v>
      </c>
      <c r="J1092" t="s">
        <v>56</v>
      </c>
      <c r="M1092">
        <v>12</v>
      </c>
      <c r="N1092" t="s">
        <v>27</v>
      </c>
      <c r="U1092">
        <f t="shared" si="167"/>
        <v>0</v>
      </c>
      <c r="V1092" t="s">
        <v>56</v>
      </c>
    </row>
    <row r="1093" spans="1:22">
      <c r="A1093">
        <v>13</v>
      </c>
      <c r="B1093" t="s">
        <v>20</v>
      </c>
      <c r="C1093" s="3">
        <v>45838</v>
      </c>
      <c r="I1093">
        <f t="shared" si="166"/>
        <v>0</v>
      </c>
      <c r="J1093" t="s">
        <v>57</v>
      </c>
      <c r="M1093">
        <v>13</v>
      </c>
      <c r="N1093" t="s">
        <v>20</v>
      </c>
      <c r="U1093">
        <f t="shared" si="167"/>
        <v>0</v>
      </c>
      <c r="V1093" t="s">
        <v>57</v>
      </c>
    </row>
    <row r="1094" spans="1:22">
      <c r="A1094">
        <v>14</v>
      </c>
      <c r="B1094" t="s">
        <v>32</v>
      </c>
      <c r="C1094" s="3">
        <v>45838</v>
      </c>
      <c r="D1094">
        <v>38</v>
      </c>
      <c r="E1094">
        <v>78</v>
      </c>
      <c r="F1094">
        <v>6</v>
      </c>
      <c r="G1094">
        <v>6</v>
      </c>
      <c r="H1094">
        <v>12</v>
      </c>
      <c r="I1094">
        <f t="shared" si="166"/>
        <v>128</v>
      </c>
      <c r="J1094" t="s">
        <v>50</v>
      </c>
      <c r="M1094">
        <v>14</v>
      </c>
      <c r="N1094" t="s">
        <v>32</v>
      </c>
      <c r="U1094">
        <f t="shared" si="167"/>
        <v>0</v>
      </c>
      <c r="V1094" t="s">
        <v>50</v>
      </c>
    </row>
    <row r="1095" spans="1:22">
      <c r="A1095">
        <v>15</v>
      </c>
      <c r="B1095" t="s">
        <v>48</v>
      </c>
      <c r="C1095" s="3">
        <v>45838</v>
      </c>
      <c r="I1095">
        <f t="shared" si="166"/>
        <v>0</v>
      </c>
      <c r="J1095" t="s">
        <v>59</v>
      </c>
      <c r="M1095">
        <v>15</v>
      </c>
      <c r="N1095" t="s">
        <v>48</v>
      </c>
      <c r="U1095">
        <f t="shared" si="167"/>
        <v>0</v>
      </c>
      <c r="V1095" t="s">
        <v>59</v>
      </c>
    </row>
    <row r="1096" spans="1:22">
      <c r="A1096">
        <v>16</v>
      </c>
      <c r="B1096" t="s">
        <v>37</v>
      </c>
      <c r="C1096" s="3">
        <v>45838</v>
      </c>
      <c r="D1096">
        <v>40</v>
      </c>
      <c r="E1096">
        <v>11</v>
      </c>
      <c r="F1096">
        <v>2</v>
      </c>
      <c r="G1096">
        <v>0</v>
      </c>
      <c r="H1096">
        <v>2</v>
      </c>
      <c r="I1096">
        <f t="shared" si="166"/>
        <v>53</v>
      </c>
      <c r="J1096" t="s">
        <v>55</v>
      </c>
      <c r="M1096">
        <v>16</v>
      </c>
      <c r="N1096" t="s">
        <v>37</v>
      </c>
      <c r="U1096">
        <f t="shared" si="167"/>
        <v>0</v>
      </c>
      <c r="V1096" t="s">
        <v>55</v>
      </c>
    </row>
    <row r="1097" spans="1:22">
      <c r="A1097">
        <v>17</v>
      </c>
      <c r="B1097" t="s">
        <v>49</v>
      </c>
      <c r="C1097" s="3">
        <v>45838</v>
      </c>
      <c r="I1097">
        <f t="shared" si="166"/>
        <v>0</v>
      </c>
      <c r="J1097" t="s">
        <v>59</v>
      </c>
      <c r="M1097">
        <v>17</v>
      </c>
      <c r="N1097" t="s">
        <v>49</v>
      </c>
      <c r="U1097">
        <f t="shared" si="167"/>
        <v>0</v>
      </c>
      <c r="V1097" t="s">
        <v>59</v>
      </c>
    </row>
    <row r="1098" spans="1:22">
      <c r="A1098">
        <v>18</v>
      </c>
      <c r="B1098" t="s">
        <v>21</v>
      </c>
      <c r="C1098" s="3">
        <v>45838</v>
      </c>
      <c r="I1098">
        <f t="shared" si="166"/>
        <v>0</v>
      </c>
      <c r="J1098" t="s">
        <v>59</v>
      </c>
      <c r="M1098">
        <v>18</v>
      </c>
      <c r="N1098" t="s">
        <v>21</v>
      </c>
      <c r="U1098">
        <f t="shared" si="167"/>
        <v>0</v>
      </c>
      <c r="V1098" t="s">
        <v>59</v>
      </c>
    </row>
    <row r="1099" spans="1:22">
      <c r="A1099">
        <v>19</v>
      </c>
      <c r="B1099" t="s">
        <v>104</v>
      </c>
      <c r="C1099" s="3">
        <v>45838</v>
      </c>
      <c r="I1099">
        <f>D1099+E1099+H1099</f>
        <v>0</v>
      </c>
      <c r="M1099">
        <v>19</v>
      </c>
      <c r="N1099" t="s">
        <v>104</v>
      </c>
      <c r="U1099">
        <f>P1099+Q1099+T1099</f>
        <v>0</v>
      </c>
    </row>
    <row r="1100" spans="1:22">
      <c r="A1100">
        <v>20</v>
      </c>
      <c r="B1100" t="s">
        <v>26</v>
      </c>
      <c r="C1100" s="3">
        <v>45838</v>
      </c>
      <c r="I1100">
        <f t="shared" ref="I1100" si="168">D1100+E1100+H1100</f>
        <v>0</v>
      </c>
      <c r="J1100" t="s">
        <v>54</v>
      </c>
      <c r="M1100">
        <v>20</v>
      </c>
      <c r="N1100" t="s">
        <v>26</v>
      </c>
      <c r="U1100">
        <f t="shared" ref="U1100" si="169">P1100+Q1100+T1100</f>
        <v>0</v>
      </c>
      <c r="V1100" t="s">
        <v>54</v>
      </c>
    </row>
    <row r="1101" spans="1:22">
      <c r="B1101" t="s">
        <v>8</v>
      </c>
      <c r="D1101">
        <f>D1081+D1082+D1083+D1084+D1085+D1086+D1088+D1087+D1089+D1090+D1091+D1092+D1093+D1094+D1096+D1098</f>
        <v>678</v>
      </c>
      <c r="E1101">
        <f>SUM(E1081:E1100)</f>
        <v>696</v>
      </c>
      <c r="I1101">
        <f>I1081+I1082+I1083+I1084+I1085+I1086+I1087+I1088+I1089+I1090+I1091+I1092+I1093+I1094+I1095+I1096+I1097+I1098+I1099+I1100</f>
        <v>1481</v>
      </c>
      <c r="N1101" t="s">
        <v>8</v>
      </c>
      <c r="P1101">
        <f>P1081+P1082+P1083+P1084+P1085+P1086+P1088+P1087+P1089+P1090+P1091+P1092+P1093+P1094+P1096+P1098</f>
        <v>0</v>
      </c>
      <c r="Q1101">
        <f>SUM(Q1081:Q1100)</f>
        <v>0</v>
      </c>
      <c r="U1101">
        <f>U1081+U1082+U1083+U1084+U1085+U1086+U1087+U1088+U1089+U1090+U1091+U1092+U1093+U1094+U1095+U1096+U1097+U1098+U1099+U1100</f>
        <v>0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2025-04-10T11:17:09Z</dcterms:created>
  <dcterms:modified xsi:type="dcterms:W3CDTF">2025-08-10T19:10:19Z</dcterms:modified>
</cp:coreProperties>
</file>