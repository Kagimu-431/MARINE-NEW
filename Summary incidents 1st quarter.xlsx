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R12" i="1"/>
  <c r="R11"/>
  <c r="R10"/>
  <c r="R9"/>
  <c r="R8"/>
  <c r="R7"/>
  <c r="R6"/>
  <c r="R5"/>
  <c r="R4"/>
  <c r="R3"/>
  <c r="L3"/>
  <c r="K12"/>
  <c r="J12"/>
  <c r="I12"/>
  <c r="H12"/>
  <c r="G12"/>
  <c r="F12"/>
  <c r="E12"/>
  <c r="D12"/>
  <c r="C12"/>
  <c r="L11"/>
  <c r="L10"/>
  <c r="L9"/>
  <c r="L8"/>
  <c r="L7"/>
  <c r="L6"/>
  <c r="L5"/>
  <c r="L4"/>
  <c r="L12" l="1"/>
</calcChain>
</file>

<file path=xl/sharedStrings.xml><?xml version="1.0" encoding="utf-8"?>
<sst xmlns="http://schemas.openxmlformats.org/spreadsheetml/2006/main" count="57" uniqueCount="29">
  <si>
    <t>Sno.</t>
  </si>
  <si>
    <t xml:space="preserve"> INCIDENT</t>
  </si>
  <si>
    <t>V.NorthEast</t>
  </si>
  <si>
    <t>V.EAST</t>
  </si>
  <si>
    <t>V.SOUTH</t>
  </si>
  <si>
    <t>V.Southeast</t>
  </si>
  <si>
    <t>V.NORTH</t>
  </si>
  <si>
    <t>V.southwest</t>
  </si>
  <si>
    <t>KYOGA</t>
  </si>
  <si>
    <t>ALBERTINE</t>
  </si>
  <si>
    <t>RWENZORI</t>
  </si>
  <si>
    <t>DROWNING</t>
  </si>
  <si>
    <t>A.MURDER</t>
  </si>
  <si>
    <t>MURDER</t>
  </si>
  <si>
    <t>Fatal accident</t>
  </si>
  <si>
    <t>theft</t>
  </si>
  <si>
    <t>Agg robbery</t>
  </si>
  <si>
    <t xml:space="preserve">Robbery </t>
  </si>
  <si>
    <t>Boat capsizing</t>
  </si>
  <si>
    <t>Crocodile killing</t>
  </si>
  <si>
    <t>TOTAL</t>
  </si>
  <si>
    <t>NUMBER OF INCIDENTS REPORTED PER ZONE</t>
  </si>
  <si>
    <t>ZONE</t>
  </si>
  <si>
    <t>No.incdent</t>
  </si>
  <si>
    <t>v.Northeast</t>
  </si>
  <si>
    <t>V.Southwest</t>
  </si>
  <si>
    <t>frequency</t>
  </si>
  <si>
    <t>%frequency</t>
  </si>
  <si>
    <t>Percentage frequency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</si>
</sst>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Fill="1" applyBorder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pieChart>
        <c:varyColors val="1"/>
        <c:ser>
          <c:idx val="0"/>
          <c:order val="0"/>
          <c:tx>
            <c:strRef>
              <c:f>Sheet1!$B$19</c:f>
              <c:strCache>
                <c:ptCount val="1"/>
                <c:pt idx="0">
                  <c:v>Percentage frequency</c:v>
                </c:pt>
              </c:strCache>
            </c:strRef>
          </c:tx>
          <c:explosion val="25"/>
          <c:cat>
            <c:strRef>
              <c:f>Sheet1!$A$20:$A$28</c:f>
              <c:strCache>
                <c:ptCount val="9"/>
                <c:pt idx="0">
                  <c:v>v.Northeast</c:v>
                </c:pt>
                <c:pt idx="1">
                  <c:v>V.EAST</c:v>
                </c:pt>
                <c:pt idx="2">
                  <c:v>V.SOUTH</c:v>
                </c:pt>
                <c:pt idx="3">
                  <c:v>V.Southeast</c:v>
                </c:pt>
                <c:pt idx="4">
                  <c:v>V.NORTH</c:v>
                </c:pt>
                <c:pt idx="5">
                  <c:v>V.Southwest</c:v>
                </c:pt>
                <c:pt idx="6">
                  <c:v>KYOGA</c:v>
                </c:pt>
                <c:pt idx="7">
                  <c:v>ALBERTINE</c:v>
                </c:pt>
                <c:pt idx="8">
                  <c:v>RWENZORI</c:v>
                </c:pt>
              </c:strCache>
            </c:strRef>
          </c:cat>
          <c:val>
            <c:numRef>
              <c:f>Sheet1!$B$20:$B$28</c:f>
              <c:numCache>
                <c:formatCode>General</c:formatCode>
                <c:ptCount val="9"/>
                <c:pt idx="0">
                  <c:v>10</c:v>
                </c:pt>
                <c:pt idx="1">
                  <c:v>0</c:v>
                </c:pt>
                <c:pt idx="2">
                  <c:v>30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20</c:v>
                </c:pt>
                <c:pt idx="7">
                  <c:v>10</c:v>
                </c:pt>
                <c:pt idx="8">
                  <c:v>0</c:v>
                </c:pt>
              </c:numCache>
            </c:numRef>
          </c:val>
        </c:ser>
        <c:firstSliceAng val="0"/>
      </c:pieChart>
      <c:spPr>
        <a:noFill/>
        <a:ln w="25400">
          <a:noFill/>
        </a:ln>
      </c:spPr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strRef>
              <c:f>Sheet1!$B$19</c:f>
              <c:strCache>
                <c:ptCount val="1"/>
                <c:pt idx="0">
                  <c:v>Percentage frequency</c:v>
                </c:pt>
              </c:strCache>
            </c:strRef>
          </c:tx>
          <c:cat>
            <c:strRef>
              <c:f>Sheet1!$A$20:$A$28</c:f>
              <c:strCache>
                <c:ptCount val="9"/>
                <c:pt idx="0">
                  <c:v>v.Northeast</c:v>
                </c:pt>
                <c:pt idx="1">
                  <c:v>V.EAST</c:v>
                </c:pt>
                <c:pt idx="2">
                  <c:v>V.SOUTH</c:v>
                </c:pt>
                <c:pt idx="3">
                  <c:v>V.Southeast</c:v>
                </c:pt>
                <c:pt idx="4">
                  <c:v>V.NORTH</c:v>
                </c:pt>
                <c:pt idx="5">
                  <c:v>V.Southwest</c:v>
                </c:pt>
                <c:pt idx="6">
                  <c:v>KYOGA</c:v>
                </c:pt>
                <c:pt idx="7">
                  <c:v>ALBERTINE</c:v>
                </c:pt>
                <c:pt idx="8">
                  <c:v>RWENZORI</c:v>
                </c:pt>
              </c:strCache>
            </c:strRef>
          </c:cat>
          <c:val>
            <c:numRef>
              <c:f>Sheet1!$B$20:$B$28</c:f>
              <c:numCache>
                <c:formatCode>General</c:formatCode>
                <c:ptCount val="9"/>
                <c:pt idx="0">
                  <c:v>10</c:v>
                </c:pt>
                <c:pt idx="1">
                  <c:v>0</c:v>
                </c:pt>
                <c:pt idx="2">
                  <c:v>30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20</c:v>
                </c:pt>
                <c:pt idx="7">
                  <c:v>10</c:v>
                </c:pt>
                <c:pt idx="8">
                  <c:v>0</c:v>
                </c:pt>
              </c:numCache>
            </c:numRef>
          </c:val>
        </c:ser>
        <c:axId val="98749440"/>
        <c:axId val="98751232"/>
      </c:barChart>
      <c:catAx>
        <c:axId val="98749440"/>
        <c:scaling>
          <c:orientation val="minMax"/>
        </c:scaling>
        <c:axPos val="b"/>
        <c:tickLblPos val="nextTo"/>
        <c:crossAx val="98751232"/>
        <c:crosses val="autoZero"/>
        <c:auto val="1"/>
        <c:lblAlgn val="ctr"/>
        <c:lblOffset val="100"/>
      </c:catAx>
      <c:valAx>
        <c:axId val="98751232"/>
        <c:scaling>
          <c:orientation val="minMax"/>
        </c:scaling>
        <c:axPos val="l"/>
        <c:majorGridlines/>
        <c:numFmt formatCode="General" sourceLinked="1"/>
        <c:tickLblPos val="nextTo"/>
        <c:crossAx val="9874944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doughnutChart>
        <c:varyColors val="1"/>
        <c:ser>
          <c:idx val="0"/>
          <c:order val="0"/>
          <c:tx>
            <c:strRef>
              <c:f>Sheet1!$Q$2</c:f>
              <c:strCache>
                <c:ptCount val="1"/>
                <c:pt idx="0">
                  <c:v>frequency</c:v>
                </c:pt>
              </c:strCache>
            </c:strRef>
          </c:tx>
          <c:cat>
            <c:strRef>
              <c:f>Sheet1!$P$3:$P$11</c:f>
              <c:strCache>
                <c:ptCount val="9"/>
                <c:pt idx="0">
                  <c:v>DROWNING</c:v>
                </c:pt>
                <c:pt idx="1">
                  <c:v>A.MURDER</c:v>
                </c:pt>
                <c:pt idx="2">
                  <c:v>MURDER</c:v>
                </c:pt>
                <c:pt idx="3">
                  <c:v>Fatal accident</c:v>
                </c:pt>
                <c:pt idx="4">
                  <c:v>theft</c:v>
                </c:pt>
                <c:pt idx="5">
                  <c:v>Agg robbery</c:v>
                </c:pt>
                <c:pt idx="6">
                  <c:v>Robbery </c:v>
                </c:pt>
                <c:pt idx="7">
                  <c:v>Boat capsizing</c:v>
                </c:pt>
                <c:pt idx="8">
                  <c:v>Crocodile killing</c:v>
                </c:pt>
              </c:strCache>
            </c:strRef>
          </c:cat>
          <c:val>
            <c:numRef>
              <c:f>Sheet1!$Q$3:$Q$11</c:f>
              <c:numCache>
                <c:formatCode>General</c:formatCode>
                <c:ptCount val="9"/>
                <c:pt idx="0">
                  <c:v>13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Bar</a:t>
            </a:r>
            <a:r>
              <a:rPr lang="en-US" baseline="0"/>
              <a:t> chat of occurence of drowning cases per zone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Sheet1!$B$3</c:f>
              <c:strCache>
                <c:ptCount val="1"/>
                <c:pt idx="0">
                  <c:v>DROWNING</c:v>
                </c:pt>
              </c:strCache>
            </c:strRef>
          </c:tx>
          <c:cat>
            <c:strRef>
              <c:f>Sheet1!$C$2:$K$2</c:f>
              <c:strCache>
                <c:ptCount val="9"/>
                <c:pt idx="0">
                  <c:v>V.NorthEast</c:v>
                </c:pt>
                <c:pt idx="1">
                  <c:v>V.EAST</c:v>
                </c:pt>
                <c:pt idx="2">
                  <c:v>V.SOUTH</c:v>
                </c:pt>
                <c:pt idx="3">
                  <c:v>V.Southeast</c:v>
                </c:pt>
                <c:pt idx="4">
                  <c:v>V.NORTH</c:v>
                </c:pt>
                <c:pt idx="5">
                  <c:v>V.southwest</c:v>
                </c:pt>
                <c:pt idx="6">
                  <c:v>KYOGA</c:v>
                </c:pt>
                <c:pt idx="7">
                  <c:v>ALBERTINE</c:v>
                </c:pt>
                <c:pt idx="8">
                  <c:v>RWENZORI</c:v>
                </c:pt>
              </c:strCache>
            </c:strRef>
          </c:cat>
          <c:val>
            <c:numRef>
              <c:f>Sheet1!$C$3:$K$3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1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</c:ser>
        <c:axId val="98879744"/>
        <c:axId val="98881536"/>
      </c:barChart>
      <c:catAx>
        <c:axId val="98879744"/>
        <c:scaling>
          <c:orientation val="minMax"/>
        </c:scaling>
        <c:axPos val="b"/>
        <c:tickLblPos val="nextTo"/>
        <c:crossAx val="98881536"/>
        <c:crosses val="autoZero"/>
        <c:auto val="1"/>
        <c:lblAlgn val="ctr"/>
        <c:lblOffset val="100"/>
      </c:catAx>
      <c:valAx>
        <c:axId val="98881536"/>
        <c:scaling>
          <c:orientation val="minMax"/>
        </c:scaling>
        <c:axPos val="l"/>
        <c:majorGridlines/>
        <c:numFmt formatCode="General" sourceLinked="1"/>
        <c:tickLblPos val="nextTo"/>
        <c:crossAx val="9887974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BAR</a:t>
            </a:r>
            <a:r>
              <a:rPr lang="en-US" baseline="0"/>
              <a:t> CHART OF OCURRANCE OF INCIDENTS PER ZONE</a:t>
            </a:r>
            <a:endParaRPr lang="en-US"/>
          </a:p>
        </c:rich>
      </c:tx>
      <c:layout/>
    </c:title>
    <c:plotArea>
      <c:layout>
        <c:manualLayout>
          <c:layoutTarget val="inner"/>
          <c:xMode val="edge"/>
          <c:yMode val="edge"/>
          <c:x val="8.7905949256342972E-2"/>
          <c:y val="0.29653944298629331"/>
          <c:w val="0.68666491688538944"/>
          <c:h val="0.43252296587926531"/>
        </c:manualLayout>
      </c:layout>
      <c:barChart>
        <c:barDir val="col"/>
        <c:grouping val="stacked"/>
        <c:ser>
          <c:idx val="0"/>
          <c:order val="0"/>
          <c:tx>
            <c:strRef>
              <c:f>Sheet1!$B$19</c:f>
              <c:strCache>
                <c:ptCount val="1"/>
                <c:pt idx="0">
                  <c:v>Percentage frequency</c:v>
                </c:pt>
              </c:strCache>
            </c:strRef>
          </c:tx>
          <c:cat>
            <c:strRef>
              <c:f>Sheet1!$A$20:$A$28</c:f>
              <c:strCache>
                <c:ptCount val="9"/>
                <c:pt idx="0">
                  <c:v>v.Northeast</c:v>
                </c:pt>
                <c:pt idx="1">
                  <c:v>V.EAST</c:v>
                </c:pt>
                <c:pt idx="2">
                  <c:v>V.SOUTH</c:v>
                </c:pt>
                <c:pt idx="3">
                  <c:v>V.Southeast</c:v>
                </c:pt>
                <c:pt idx="4">
                  <c:v>V.NORTH</c:v>
                </c:pt>
                <c:pt idx="5">
                  <c:v>V.Southwest</c:v>
                </c:pt>
                <c:pt idx="6">
                  <c:v>KYOGA</c:v>
                </c:pt>
                <c:pt idx="7">
                  <c:v>ALBERTINE</c:v>
                </c:pt>
                <c:pt idx="8">
                  <c:v>RWENZORI</c:v>
                </c:pt>
              </c:strCache>
            </c:strRef>
          </c:cat>
          <c:val>
            <c:numRef>
              <c:f>Sheet1!$B$20:$B$28</c:f>
              <c:numCache>
                <c:formatCode>General</c:formatCode>
                <c:ptCount val="9"/>
                <c:pt idx="0">
                  <c:v>10</c:v>
                </c:pt>
                <c:pt idx="1">
                  <c:v>0</c:v>
                </c:pt>
                <c:pt idx="2">
                  <c:v>30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20</c:v>
                </c:pt>
                <c:pt idx="7">
                  <c:v>10</c:v>
                </c:pt>
                <c:pt idx="8">
                  <c:v>0</c:v>
                </c:pt>
              </c:numCache>
            </c:numRef>
          </c:val>
        </c:ser>
        <c:overlap val="100"/>
        <c:axId val="98893184"/>
        <c:axId val="100037760"/>
      </c:barChart>
      <c:catAx>
        <c:axId val="98893184"/>
        <c:scaling>
          <c:orientation val="minMax"/>
        </c:scaling>
        <c:axPos val="b"/>
        <c:tickLblPos val="nextTo"/>
        <c:crossAx val="100037760"/>
        <c:crosses val="autoZero"/>
        <c:auto val="1"/>
        <c:lblAlgn val="ctr"/>
        <c:lblOffset val="100"/>
      </c:catAx>
      <c:valAx>
        <c:axId val="100037760"/>
        <c:scaling>
          <c:orientation val="minMax"/>
        </c:scaling>
        <c:axPos val="l"/>
        <c:majorGridlines/>
        <c:numFmt formatCode="General" sourceLinked="1"/>
        <c:tickLblPos val="nextTo"/>
        <c:crossAx val="988931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pieChart>
        <c:varyColors val="1"/>
        <c:ser>
          <c:idx val="0"/>
          <c:order val="0"/>
          <c:tx>
            <c:strRef>
              <c:f>Sheet1!$Q$2</c:f>
              <c:strCache>
                <c:ptCount val="1"/>
                <c:pt idx="0">
                  <c:v>frequency</c:v>
                </c:pt>
              </c:strCache>
            </c:strRef>
          </c:tx>
          <c:cat>
            <c:strRef>
              <c:f>Sheet1!$P$3:$P$11</c:f>
              <c:strCache>
                <c:ptCount val="9"/>
                <c:pt idx="0">
                  <c:v>DROWNING</c:v>
                </c:pt>
                <c:pt idx="1">
                  <c:v>A.MURDER</c:v>
                </c:pt>
                <c:pt idx="2">
                  <c:v>MURDER</c:v>
                </c:pt>
                <c:pt idx="3">
                  <c:v>Fatal accident</c:v>
                </c:pt>
                <c:pt idx="4">
                  <c:v>theft</c:v>
                </c:pt>
                <c:pt idx="5">
                  <c:v>Agg robbery</c:v>
                </c:pt>
                <c:pt idx="6">
                  <c:v>Robbery </c:v>
                </c:pt>
                <c:pt idx="7">
                  <c:v>Boat capsizing</c:v>
                </c:pt>
                <c:pt idx="8">
                  <c:v>Crocodile killing</c:v>
                </c:pt>
              </c:strCache>
            </c:strRef>
          </c:cat>
          <c:val>
            <c:numRef>
              <c:f>Sheet1!$Q$3:$Q$11</c:f>
              <c:numCache>
                <c:formatCode>General</c:formatCode>
                <c:ptCount val="9"/>
                <c:pt idx="0">
                  <c:v>13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Sheet1!$R$2</c:f>
              <c:strCache>
                <c:ptCount val="1"/>
                <c:pt idx="0">
                  <c:v>%frequency</c:v>
                </c:pt>
              </c:strCache>
            </c:strRef>
          </c:tx>
          <c:cat>
            <c:strRef>
              <c:f>Sheet1!$P$3:$P$11</c:f>
              <c:strCache>
                <c:ptCount val="9"/>
                <c:pt idx="0">
                  <c:v>DROWNING</c:v>
                </c:pt>
                <c:pt idx="1">
                  <c:v>A.MURDER</c:v>
                </c:pt>
                <c:pt idx="2">
                  <c:v>MURDER</c:v>
                </c:pt>
                <c:pt idx="3">
                  <c:v>Fatal accident</c:v>
                </c:pt>
                <c:pt idx="4">
                  <c:v>theft</c:v>
                </c:pt>
                <c:pt idx="5">
                  <c:v>Agg robbery</c:v>
                </c:pt>
                <c:pt idx="6">
                  <c:v>Robbery </c:v>
                </c:pt>
                <c:pt idx="7">
                  <c:v>Boat capsizing</c:v>
                </c:pt>
                <c:pt idx="8">
                  <c:v>Crocodile killing</c:v>
                </c:pt>
              </c:strCache>
            </c:strRef>
          </c:cat>
          <c:val>
            <c:numRef>
              <c:f>Sheet1!$R$3:$R$11</c:f>
              <c:numCache>
                <c:formatCode>General</c:formatCode>
                <c:ptCount val="9"/>
                <c:pt idx="0">
                  <c:v>56.521739130434781</c:v>
                </c:pt>
                <c:pt idx="1">
                  <c:v>8.695652173913043</c:v>
                </c:pt>
                <c:pt idx="2">
                  <c:v>0</c:v>
                </c:pt>
                <c:pt idx="3">
                  <c:v>4.3478260869565215</c:v>
                </c:pt>
                <c:pt idx="4">
                  <c:v>4.3478260869565215</c:v>
                </c:pt>
                <c:pt idx="5">
                  <c:v>17.391304347826086</c:v>
                </c:pt>
                <c:pt idx="6">
                  <c:v>4.3478260869565215</c:v>
                </c:pt>
                <c:pt idx="7">
                  <c:v>4.3478260869565215</c:v>
                </c:pt>
                <c:pt idx="8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Bar</a:t>
            </a:r>
            <a:r>
              <a:rPr lang="en-US" baseline="0"/>
              <a:t> chat of occurance of incidents per zone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Sheet1!$A$17</c:f>
              <c:strCache>
                <c:ptCount val="1"/>
                <c:pt idx="0">
                  <c:v>No.incdent</c:v>
                </c:pt>
              </c:strCache>
            </c:strRef>
          </c:tx>
          <c:cat>
            <c:strRef>
              <c:f>Sheet1!$B$16:$J$16</c:f>
              <c:strCache>
                <c:ptCount val="9"/>
                <c:pt idx="0">
                  <c:v>V.NorthEast</c:v>
                </c:pt>
                <c:pt idx="1">
                  <c:v>V.EAST</c:v>
                </c:pt>
                <c:pt idx="2">
                  <c:v>V.SOUTH</c:v>
                </c:pt>
                <c:pt idx="3">
                  <c:v>V.Southeast</c:v>
                </c:pt>
                <c:pt idx="4">
                  <c:v>V.NORTH</c:v>
                </c:pt>
                <c:pt idx="5">
                  <c:v>V.southwest</c:v>
                </c:pt>
                <c:pt idx="6">
                  <c:v>KYOGA</c:v>
                </c:pt>
                <c:pt idx="7">
                  <c:v>ALBERTINE</c:v>
                </c:pt>
                <c:pt idx="8">
                  <c:v>RWENZORI</c:v>
                </c:pt>
              </c:strCache>
            </c:strRef>
          </c:cat>
          <c:val>
            <c:numRef>
              <c:f>Sheet1!$B$17:$J$17</c:f>
              <c:numCache>
                <c:formatCode>General</c:formatCode>
                <c:ptCount val="9"/>
                <c:pt idx="0">
                  <c:v>3</c:v>
                </c:pt>
                <c:pt idx="1">
                  <c:v>0</c:v>
                </c:pt>
                <c:pt idx="2">
                  <c:v>6</c:v>
                </c:pt>
                <c:pt idx="3">
                  <c:v>0</c:v>
                </c:pt>
                <c:pt idx="4">
                  <c:v>2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0</c:v>
                </c:pt>
              </c:numCache>
            </c:numRef>
          </c:val>
        </c:ser>
        <c:axId val="124585472"/>
        <c:axId val="124587008"/>
      </c:barChart>
      <c:catAx>
        <c:axId val="124585472"/>
        <c:scaling>
          <c:orientation val="minMax"/>
        </c:scaling>
        <c:axPos val="b"/>
        <c:tickLblPos val="nextTo"/>
        <c:crossAx val="124587008"/>
        <c:crosses val="autoZero"/>
        <c:auto val="1"/>
        <c:lblAlgn val="ctr"/>
        <c:lblOffset val="100"/>
      </c:catAx>
      <c:valAx>
        <c:axId val="124587008"/>
        <c:scaling>
          <c:orientation val="minMax"/>
        </c:scaling>
        <c:axPos val="l"/>
        <c:majorGridlines/>
        <c:numFmt formatCode="General" sourceLinked="1"/>
        <c:tickLblPos val="nextTo"/>
        <c:crossAx val="12458547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28575</xdr:colOff>
      <xdr:row>12</xdr:row>
      <xdr:rowOff>161925</xdr:rowOff>
    </xdr:from>
    <xdr:to>
      <xdr:col>19</xdr:col>
      <xdr:colOff>333375</xdr:colOff>
      <xdr:row>26</xdr:row>
      <xdr:rowOff>28575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314325</xdr:colOff>
      <xdr:row>20</xdr:row>
      <xdr:rowOff>104775</xdr:rowOff>
    </xdr:from>
    <xdr:to>
      <xdr:col>24</xdr:col>
      <xdr:colOff>514350</xdr:colOff>
      <xdr:row>34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152400</xdr:colOff>
      <xdr:row>3</xdr:row>
      <xdr:rowOff>238126</xdr:rowOff>
    </xdr:from>
    <xdr:to>
      <xdr:col>28</xdr:col>
      <xdr:colOff>28574</xdr:colOff>
      <xdr:row>13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523875</xdr:colOff>
      <xdr:row>6</xdr:row>
      <xdr:rowOff>95250</xdr:rowOff>
    </xdr:from>
    <xdr:to>
      <xdr:col>17</xdr:col>
      <xdr:colOff>381001</xdr:colOff>
      <xdr:row>17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219076</xdr:colOff>
      <xdr:row>27</xdr:row>
      <xdr:rowOff>85725</xdr:rowOff>
    </xdr:from>
    <xdr:to>
      <xdr:col>14</xdr:col>
      <xdr:colOff>180976</xdr:colOff>
      <xdr:row>43</xdr:row>
      <xdr:rowOff>152400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295275</xdr:colOff>
      <xdr:row>2</xdr:row>
      <xdr:rowOff>381000</xdr:rowOff>
    </xdr:from>
    <xdr:to>
      <xdr:col>21</xdr:col>
      <xdr:colOff>523875</xdr:colOff>
      <xdr:row>11</xdr:row>
      <xdr:rowOff>180975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38101</xdr:colOff>
      <xdr:row>8</xdr:row>
      <xdr:rowOff>180975</xdr:rowOff>
    </xdr:from>
    <xdr:to>
      <xdr:col>7</xdr:col>
      <xdr:colOff>419101</xdr:colOff>
      <xdr:row>20</xdr:row>
      <xdr:rowOff>19050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topLeftCell="A6" workbookViewId="0">
      <selection activeCell="B24" sqref="B24"/>
    </sheetView>
  </sheetViews>
  <sheetFormatPr defaultRowHeight="15"/>
  <sheetData>
    <row r="1" spans="1:18" ht="15.75" thickBot="1">
      <c r="B1" s="6" t="s">
        <v>21</v>
      </c>
    </row>
    <row r="2" spans="1:18" ht="45.75" thickBo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5" t="s">
        <v>20</v>
      </c>
      <c r="P2" s="2" t="s">
        <v>1</v>
      </c>
      <c r="Q2" t="s">
        <v>26</v>
      </c>
      <c r="R2" t="s">
        <v>27</v>
      </c>
    </row>
    <row r="3" spans="1:18" ht="30.75" thickBot="1">
      <c r="A3" s="3">
        <v>1</v>
      </c>
      <c r="B3" s="4" t="s">
        <v>11</v>
      </c>
      <c r="C3" s="4">
        <v>1</v>
      </c>
      <c r="D3" s="4">
        <v>0</v>
      </c>
      <c r="E3" s="4">
        <v>3</v>
      </c>
      <c r="F3" s="4">
        <v>0</v>
      </c>
      <c r="G3" s="4">
        <v>1</v>
      </c>
      <c r="H3" s="4">
        <v>4</v>
      </c>
      <c r="I3" s="4">
        <v>3</v>
      </c>
      <c r="J3" s="4">
        <v>1</v>
      </c>
      <c r="K3" s="4">
        <v>0</v>
      </c>
      <c r="L3">
        <f>C3+D3+E3+F3+G3+H3+I3+J3+K3</f>
        <v>13</v>
      </c>
      <c r="P3" s="4" t="s">
        <v>11</v>
      </c>
      <c r="Q3">
        <v>13</v>
      </c>
      <c r="R3">
        <f>(Q3/23)*100</f>
        <v>56.521739130434781</v>
      </c>
    </row>
    <row r="4" spans="1:18" ht="30.75" thickBot="1">
      <c r="A4" s="3">
        <v>2</v>
      </c>
      <c r="B4" s="4" t="s">
        <v>12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1</v>
      </c>
      <c r="J4" s="4">
        <v>1</v>
      </c>
      <c r="K4" s="4">
        <v>0</v>
      </c>
      <c r="L4">
        <f>C4+D4+E4+F4+G4+H4+I4+J4+K4</f>
        <v>2</v>
      </c>
      <c r="P4" s="4" t="s">
        <v>12</v>
      </c>
      <c r="Q4">
        <v>2</v>
      </c>
      <c r="R4">
        <f>(Q4/23)*100</f>
        <v>8.695652173913043</v>
      </c>
    </row>
    <row r="5" spans="1:18" ht="15.75" thickBot="1">
      <c r="A5" s="3">
        <v>3</v>
      </c>
      <c r="B5" s="4" t="s">
        <v>13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>
        <f>C5+D5+E5+F5+G5+G5+H5+I5+J5+K5</f>
        <v>0</v>
      </c>
      <c r="P5" s="4" t="s">
        <v>13</v>
      </c>
      <c r="Q5">
        <v>0</v>
      </c>
      <c r="R5">
        <f>(Q5/23)*100</f>
        <v>0</v>
      </c>
    </row>
    <row r="6" spans="1:18" ht="30.75" thickBot="1">
      <c r="A6" s="3">
        <v>4</v>
      </c>
      <c r="B6" s="4" t="s">
        <v>14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1</v>
      </c>
      <c r="I6" s="4">
        <v>0</v>
      </c>
      <c r="J6" s="4">
        <v>0</v>
      </c>
      <c r="K6" s="4">
        <v>0</v>
      </c>
      <c r="L6">
        <f t="shared" ref="L6:L11" si="0">C6+D6+E6+F6+G6+H6+I6+J6+K6</f>
        <v>1</v>
      </c>
      <c r="P6" s="4" t="s">
        <v>14</v>
      </c>
      <c r="Q6">
        <v>1</v>
      </c>
      <c r="R6">
        <f>(Q6/23)*100</f>
        <v>4.3478260869565215</v>
      </c>
    </row>
    <row r="7" spans="1:18" ht="15.75" thickBot="1">
      <c r="A7" s="3">
        <v>5</v>
      </c>
      <c r="B7" s="4" t="s">
        <v>15</v>
      </c>
      <c r="C7" s="4">
        <v>0</v>
      </c>
      <c r="D7" s="4">
        <v>0</v>
      </c>
      <c r="E7" s="4">
        <v>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>
        <f t="shared" si="0"/>
        <v>1</v>
      </c>
      <c r="P7" s="4" t="s">
        <v>15</v>
      </c>
      <c r="Q7">
        <v>1</v>
      </c>
      <c r="R7">
        <f>(Q7/23)*100</f>
        <v>4.3478260869565215</v>
      </c>
    </row>
    <row r="8" spans="1:18" ht="30.75" thickBot="1">
      <c r="A8" s="3">
        <v>6</v>
      </c>
      <c r="B8" s="4" t="s">
        <v>16</v>
      </c>
      <c r="C8" s="4">
        <v>2</v>
      </c>
      <c r="D8" s="4">
        <v>0</v>
      </c>
      <c r="E8" s="4">
        <v>1</v>
      </c>
      <c r="F8" s="4">
        <v>0</v>
      </c>
      <c r="G8" s="4">
        <v>0</v>
      </c>
      <c r="H8" s="4">
        <v>0</v>
      </c>
      <c r="I8" s="4">
        <v>0</v>
      </c>
      <c r="J8" s="4">
        <v>1</v>
      </c>
      <c r="K8" s="4">
        <v>0</v>
      </c>
      <c r="L8">
        <f t="shared" si="0"/>
        <v>4</v>
      </c>
      <c r="P8" s="4" t="s">
        <v>16</v>
      </c>
      <c r="Q8">
        <v>4</v>
      </c>
      <c r="R8">
        <f>(Q8/23)*100</f>
        <v>17.391304347826086</v>
      </c>
    </row>
    <row r="9" spans="1:18" ht="15.75" thickBot="1">
      <c r="A9" s="3">
        <v>7</v>
      </c>
      <c r="B9" s="4" t="s">
        <v>17</v>
      </c>
      <c r="C9" s="4">
        <v>0</v>
      </c>
      <c r="D9" s="4">
        <v>0</v>
      </c>
      <c r="E9" s="4">
        <v>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>
        <f t="shared" si="0"/>
        <v>1</v>
      </c>
      <c r="P9" s="4" t="s">
        <v>17</v>
      </c>
      <c r="Q9">
        <v>1</v>
      </c>
      <c r="R9">
        <f>(Q9/23*100)</f>
        <v>4.3478260869565215</v>
      </c>
    </row>
    <row r="10" spans="1:18" ht="30.75" thickBot="1">
      <c r="A10" s="3">
        <v>8</v>
      </c>
      <c r="B10" s="4" t="s">
        <v>18</v>
      </c>
      <c r="C10" s="4">
        <v>0</v>
      </c>
      <c r="D10" s="4">
        <v>0</v>
      </c>
      <c r="E10" s="4">
        <v>0</v>
      </c>
      <c r="F10" s="4">
        <v>0</v>
      </c>
      <c r="G10" s="4">
        <v>1</v>
      </c>
      <c r="H10" s="4">
        <v>0</v>
      </c>
      <c r="I10" s="4">
        <v>0</v>
      </c>
      <c r="J10" s="4">
        <v>0</v>
      </c>
      <c r="K10" s="4">
        <v>0</v>
      </c>
      <c r="L10">
        <f t="shared" si="0"/>
        <v>1</v>
      </c>
      <c r="P10" s="4" t="s">
        <v>18</v>
      </c>
      <c r="Q10">
        <v>1</v>
      </c>
      <c r="R10">
        <f>(Q10/23)*100</f>
        <v>4.3478260869565215</v>
      </c>
    </row>
    <row r="11" spans="1:18" ht="30.75" thickBot="1">
      <c r="A11" s="3">
        <v>9</v>
      </c>
      <c r="B11" s="4" t="s">
        <v>19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>
        <f t="shared" si="0"/>
        <v>0</v>
      </c>
      <c r="P11" s="4" t="s">
        <v>19</v>
      </c>
      <c r="Q11">
        <v>0</v>
      </c>
      <c r="R11">
        <f>(Q11/23)*100</f>
        <v>0</v>
      </c>
    </row>
    <row r="12" spans="1:18">
      <c r="B12" s="5" t="s">
        <v>20</v>
      </c>
      <c r="C12">
        <f t="shared" ref="C12:L12" si="1">C3+C4+C5+C6+C7+C8+C9+C10+C11</f>
        <v>3</v>
      </c>
      <c r="D12">
        <f t="shared" si="1"/>
        <v>0</v>
      </c>
      <c r="E12">
        <f t="shared" si="1"/>
        <v>6</v>
      </c>
      <c r="F12">
        <f t="shared" si="1"/>
        <v>0</v>
      </c>
      <c r="G12">
        <f t="shared" si="1"/>
        <v>2</v>
      </c>
      <c r="H12">
        <f t="shared" si="1"/>
        <v>5</v>
      </c>
      <c r="I12">
        <f t="shared" si="1"/>
        <v>4</v>
      </c>
      <c r="J12">
        <f t="shared" si="1"/>
        <v>3</v>
      </c>
      <c r="K12">
        <f t="shared" si="1"/>
        <v>0</v>
      </c>
      <c r="L12">
        <f t="shared" si="1"/>
        <v>23</v>
      </c>
      <c r="R12">
        <f>R3+R4+R5+R6+R7+R8+R9+R10+R11</f>
        <v>99.999999999999972</v>
      </c>
    </row>
    <row r="15" spans="1:18" ht="15.75" thickBot="1"/>
    <row r="16" spans="1:18" ht="30.75" thickBot="1">
      <c r="A16" s="2" t="s">
        <v>22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</row>
    <row r="17" spans="1:10">
      <c r="A17" t="s">
        <v>23</v>
      </c>
      <c r="B17">
        <v>3</v>
      </c>
      <c r="C17">
        <v>0</v>
      </c>
      <c r="D17">
        <v>6</v>
      </c>
      <c r="E17">
        <v>0</v>
      </c>
      <c r="F17">
        <v>2</v>
      </c>
      <c r="G17">
        <v>5</v>
      </c>
      <c r="H17">
        <v>4</v>
      </c>
      <c r="I17">
        <v>3</v>
      </c>
      <c r="J17">
        <v>0</v>
      </c>
    </row>
    <row r="19" spans="1:10">
      <c r="A19" t="s">
        <v>22</v>
      </c>
      <c r="B19" t="s">
        <v>28</v>
      </c>
    </row>
    <row r="20" spans="1:10">
      <c r="A20" t="s">
        <v>24</v>
      </c>
      <c r="B20">
        <v>10</v>
      </c>
    </row>
    <row r="21" spans="1:10">
      <c r="A21" t="s">
        <v>3</v>
      </c>
      <c r="B21">
        <v>0</v>
      </c>
    </row>
    <row r="22" spans="1:10">
      <c r="A22" t="s">
        <v>4</v>
      </c>
      <c r="B22">
        <v>30</v>
      </c>
    </row>
    <row r="23" spans="1:10">
      <c r="A23" t="s">
        <v>5</v>
      </c>
      <c r="B23">
        <v>0</v>
      </c>
    </row>
    <row r="24" spans="1:10">
      <c r="A24" t="s">
        <v>6</v>
      </c>
      <c r="B24">
        <v>10</v>
      </c>
    </row>
    <row r="25" spans="1:10">
      <c r="A25" t="s">
        <v>25</v>
      </c>
      <c r="B25">
        <v>20</v>
      </c>
    </row>
    <row r="26" spans="1:10">
      <c r="A26" t="s">
        <v>8</v>
      </c>
      <c r="B26">
        <v>20</v>
      </c>
    </row>
    <row r="27" spans="1:10">
      <c r="A27" t="s">
        <v>9</v>
      </c>
      <c r="B27">
        <v>10</v>
      </c>
    </row>
    <row r="28" spans="1:10">
      <c r="A28" t="s">
        <v>10</v>
      </c>
      <c r="B28">
        <v>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Deftones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KAGIMU MOSES</dc:creator>
  <cp:lastModifiedBy>KAGIMU MOSES</cp:lastModifiedBy>
  <dcterms:created xsi:type="dcterms:W3CDTF">2025-04-22T06:46:07Z</dcterms:created>
  <dcterms:modified xsi:type="dcterms:W3CDTF">2025-04-27T11:13:35Z</dcterms:modified>
</cp:coreProperties>
</file>